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\Downloads\"/>
    </mc:Choice>
  </mc:AlternateContent>
  <xr:revisionPtr revIDLastSave="0" documentId="13_ncr:1_{E2B1D1E7-5B81-41C8-B86C-2F861D8B34DD}" xr6:coauthVersionLast="47" xr6:coauthVersionMax="47" xr10:uidLastSave="{00000000-0000-0000-0000-000000000000}"/>
  <bookViews>
    <workbookView xWindow="-108" yWindow="-108" windowWidth="23256" windowHeight="12456" xr2:uid="{0A585DAA-3097-4CEB-BF92-B31A92B0FA79}"/>
  </bookViews>
  <sheets>
    <sheet name="Sheet1" sheetId="1" r:id="rId1"/>
    <sheet name="Map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2" i="1"/>
</calcChain>
</file>

<file path=xl/sharedStrings.xml><?xml version="1.0" encoding="utf-8"?>
<sst xmlns="http://schemas.openxmlformats.org/spreadsheetml/2006/main" count="596" uniqueCount="73">
  <si>
    <t>Calendar_Year</t>
  </si>
  <si>
    <t>Station_Name</t>
  </si>
  <si>
    <t>Annual_Station_Boardings</t>
  </si>
  <si>
    <t>22nd Street Station</t>
  </si>
  <si>
    <t>29th Avenue Station</t>
  </si>
  <si>
    <t>Aberdeen Station</t>
  </si>
  <si>
    <t>Braid Station</t>
  </si>
  <si>
    <t>Brentwood Town Centre Station</t>
  </si>
  <si>
    <t>Bridgeport Station</t>
  </si>
  <si>
    <t>Burquitlam Station</t>
  </si>
  <si>
    <t>Burrard Station</t>
  </si>
  <si>
    <t>Columbia Station</t>
  </si>
  <si>
    <t>Coquitlam Central Station</t>
  </si>
  <si>
    <t>Edmonds Station</t>
  </si>
  <si>
    <t>Gateway Station</t>
  </si>
  <si>
    <t>Gilmore Station</t>
  </si>
  <si>
    <t>Granville Station</t>
  </si>
  <si>
    <t>Holdom Station</t>
  </si>
  <si>
    <t>Inlet Centre Station</t>
  </si>
  <si>
    <t>King Edward Station</t>
  </si>
  <si>
    <t>King George Station</t>
  </si>
  <si>
    <t>Lafarge Lake-Douglas Station</t>
  </si>
  <si>
    <t>Lake City Way Station</t>
  </si>
  <si>
    <t>Lansdowne Station</t>
  </si>
  <si>
    <t>Lincoln Station</t>
  </si>
  <si>
    <t>Lougheed Town Centre Station</t>
  </si>
  <si>
    <t>Marine Drive Station</t>
  </si>
  <si>
    <t>Metrotown Station</t>
  </si>
  <si>
    <t>Moody Centre Station</t>
  </si>
  <si>
    <t>Nanaimo Station</t>
  </si>
  <si>
    <t>New Westminster Station</t>
  </si>
  <si>
    <t>Olympic Village Station</t>
  </si>
  <si>
    <t>Patterson Station</t>
  </si>
  <si>
    <t>Renfrew Station</t>
  </si>
  <si>
    <t>Royal Oak Station</t>
  </si>
  <si>
    <t>Rupert Station</t>
  </si>
  <si>
    <t>Sapperton Station</t>
  </si>
  <si>
    <t>Scott Road Station</t>
  </si>
  <si>
    <t>Sea Island Station</t>
  </si>
  <si>
    <t>Surrey Central Station</t>
  </si>
  <si>
    <t>Templeton Station</t>
  </si>
  <si>
    <t>Vancouver City Centre Station</t>
  </si>
  <si>
    <t>Waterfront Station</t>
  </si>
  <si>
    <t>Broadway-City Hall Station</t>
  </si>
  <si>
    <t>Commercial-Broadway Station</t>
  </si>
  <si>
    <t>Joyce-Collingwood Station</t>
  </si>
  <si>
    <t>Langara-49th Avenue Station</t>
  </si>
  <si>
    <t>Main Street-Science World Station</t>
  </si>
  <si>
    <t>Oakridge-41st Avenue Station</t>
  </si>
  <si>
    <t>Production Way-University Station</t>
  </si>
  <si>
    <t>Richmond-Brighouse Station</t>
  </si>
  <si>
    <t>Sperling-Burnaby Lake Station</t>
  </si>
  <si>
    <t>Stadium-Chinatown Station</t>
  </si>
  <si>
    <t>VCC-Clark Station</t>
  </si>
  <si>
    <t>Yaletown-Roundhouse Station</t>
  </si>
  <si>
    <t>YVR-Airport Station</t>
  </si>
  <si>
    <t>Line</t>
  </si>
  <si>
    <t>Station Name</t>
  </si>
  <si>
    <t>Expo Line</t>
  </si>
  <si>
    <t>Canada Line</t>
  </si>
  <si>
    <t>Millennium Line</t>
  </si>
  <si>
    <t>Expo / Millennium Line</t>
  </si>
  <si>
    <t>Expo / Canada Line</t>
  </si>
  <si>
    <t>City</t>
  </si>
  <si>
    <t>New Westminster</t>
  </si>
  <si>
    <t>Vancouver</t>
  </si>
  <si>
    <t>Richmond</t>
  </si>
  <si>
    <t>Burnaby</t>
  </si>
  <si>
    <t>Coquitlam</t>
  </si>
  <si>
    <t>Surrey</t>
  </si>
  <si>
    <t>Port Moody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</si>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</sst>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0" xfId="0" applyFont="1"/>
    <xf numFmtId="164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3FD21-9D81-4096-A0A4-FC8755CBF25A}">
  <dimension ref="A1:G372"/>
  <sheetViews>
    <sheetView tabSelected="1" workbookViewId="0">
      <selection activeCell="G12" sqref="G12"/>
    </sheetView>
  </sheetViews>
  <sheetFormatPr defaultRowHeight="14.4"/>
  <cols>
    <col min="1" max="2" width="16.21875" customWidth="1"/>
    <col min="3" max="3" width="25.88671875" customWidth="1"/>
    <col min="4" max="4" width="26.33203125" customWidth="1"/>
    <col min="5" max="5" width="30.6640625" customWidth="1"/>
    <col min="6" max="6" width="25.88671875" customWidth="1"/>
    <col min="7" max="7" width="24.21875" customWidth="1"/>
  </cols>
  <sheetData>
    <row r="1" spans="1:7">
      <c r="A1" t="s">
        <v>0</v>
      </c>
      <c r="B1" t="s">
        <v>56</v>
      </c>
      <c r="C1" t="s">
        <v>1</v>
      </c>
      <c r="D1" t="s">
        <v>2</v>
      </c>
      <c r="E1" t="s">
        <v>63</v>
      </c>
      <c r="F1" t="s">
        <v>71</v>
      </c>
      <c r="G1" t="s">
        <v>72</v>
      </c>
    </row>
    <row r="2" spans="1:7">
      <c r="A2">
        <v>2016</v>
      </c>
      <c r="B2" s="3" t="str">
        <f>_xlfn.XLOOKUP(C2,Mapping!$A$2:$A$54,Mapping!$B$2:$B$54)</f>
        <v>Expo Line</v>
      </c>
      <c r="C2" t="s">
        <v>3</v>
      </c>
      <c r="D2">
        <v>2890317</v>
      </c>
      <c r="E2" t="str">
        <f>_xlfn.XLOOKUP(C2,Mapping!$D$2:$D$54,Mapping!$E$2:$E$54)</f>
        <v>New Westminster</v>
      </c>
      <c r="F2">
        <f>_xlfn.XLOOKUP($C2,Mapping!$D$2:$D$54,Mapping!F$2:F$54)</f>
        <v>49.2</v>
      </c>
      <c r="G2">
        <f>_xlfn.XLOOKUP($C2,Mapping!$D$2:$D$54,Mapping!G$2:G$54)</f>
        <v>-122.949</v>
      </c>
    </row>
    <row r="3" spans="1:7">
      <c r="A3">
        <v>2016</v>
      </c>
      <c r="B3" s="3" t="str">
        <f>_xlfn.XLOOKUP(C3,Mapping!$A$2:$A$54,Mapping!$B$2:$B$54)</f>
        <v>Expo Line</v>
      </c>
      <c r="C3" t="s">
        <v>4</v>
      </c>
      <c r="D3">
        <v>2235918</v>
      </c>
      <c r="E3" t="str">
        <f>_xlfn.XLOOKUP(C3,Mapping!$D$2:$D$54,Mapping!$E$2:$E$54)</f>
        <v>Vancouver</v>
      </c>
      <c r="F3">
        <f>_xlfn.XLOOKUP($C3,Mapping!$D$2:$D$54,Mapping!F$2:F$54)</f>
        <v>49.244300000000003</v>
      </c>
      <c r="G3">
        <f>_xlfn.XLOOKUP($C3,Mapping!$D$2:$D$54,Mapping!G$2:G$54)</f>
        <v>-123.045</v>
      </c>
    </row>
    <row r="4" spans="1:7">
      <c r="A4">
        <v>2016</v>
      </c>
      <c r="B4" s="3" t="str">
        <f>_xlfn.XLOOKUP(C4,Mapping!$A$2:$A$54,Mapping!$B$2:$B$54)</f>
        <v>Canada Line</v>
      </c>
      <c r="C4" t="s">
        <v>5</v>
      </c>
      <c r="D4">
        <v>1454918</v>
      </c>
      <c r="E4" t="str">
        <f>_xlfn.XLOOKUP(C4,Mapping!$D$2:$D$54,Mapping!$E$2:$E$54)</f>
        <v>Richmond</v>
      </c>
      <c r="F4">
        <f>_xlfn.XLOOKUP($C4,Mapping!$D$2:$D$54,Mapping!F$2:F$54)</f>
        <v>49.1843</v>
      </c>
      <c r="G4">
        <f>_xlfn.XLOOKUP($C4,Mapping!$D$2:$D$54,Mapping!G$2:G$54)</f>
        <v>-123.1362</v>
      </c>
    </row>
    <row r="5" spans="1:7">
      <c r="A5">
        <v>2016</v>
      </c>
      <c r="B5" s="3" t="str">
        <f>_xlfn.XLOOKUP(C5,Mapping!$A$2:$A$54,Mapping!$B$2:$B$54)</f>
        <v>Expo Line</v>
      </c>
      <c r="C5" t="s">
        <v>6</v>
      </c>
      <c r="D5">
        <v>1606780</v>
      </c>
      <c r="E5" t="str">
        <f>_xlfn.XLOOKUP(C5,Mapping!$D$2:$D$54,Mapping!$E$2:$E$54)</f>
        <v>New Westminster</v>
      </c>
      <c r="F5">
        <f>_xlfn.XLOOKUP($C5,Mapping!$D$2:$D$54,Mapping!F$2:F$54)</f>
        <v>49.232999999999997</v>
      </c>
      <c r="G5">
        <f>_xlfn.XLOOKUP($C5,Mapping!$D$2:$D$54,Mapping!G$2:G$54)</f>
        <v>-122.8828</v>
      </c>
    </row>
    <row r="6" spans="1:7">
      <c r="A6">
        <v>2016</v>
      </c>
      <c r="B6" s="3" t="str">
        <f>_xlfn.XLOOKUP(C6,Mapping!$A$2:$A$54,Mapping!$B$2:$B$54)</f>
        <v>Millennium Line</v>
      </c>
      <c r="C6" t="s">
        <v>7</v>
      </c>
      <c r="D6">
        <v>1496305</v>
      </c>
      <c r="E6" t="str">
        <f>_xlfn.XLOOKUP(C6,Mapping!$D$2:$D$54,Mapping!$E$2:$E$54)</f>
        <v>Burnaby</v>
      </c>
      <c r="F6">
        <f>_xlfn.XLOOKUP($C6,Mapping!$D$2:$D$54,Mapping!F$2:F$54)</f>
        <v>49.266199999999998</v>
      </c>
      <c r="G6">
        <f>_xlfn.XLOOKUP($C6,Mapping!$D$2:$D$54,Mapping!G$2:G$54)</f>
        <v>-123.0016</v>
      </c>
    </row>
    <row r="7" spans="1:7">
      <c r="A7">
        <v>2016</v>
      </c>
      <c r="B7" s="3" t="str">
        <f>_xlfn.XLOOKUP(C7,Mapping!$A$2:$A$54,Mapping!$B$2:$B$54)</f>
        <v>Canada Line</v>
      </c>
      <c r="C7" t="s">
        <v>8</v>
      </c>
      <c r="D7">
        <v>3555174</v>
      </c>
      <c r="E7" t="str">
        <f>_xlfn.XLOOKUP(C7,Mapping!$D$2:$D$54,Mapping!$E$2:$E$54)</f>
        <v>Richmond</v>
      </c>
      <c r="F7">
        <f>_xlfn.XLOOKUP($C7,Mapping!$D$2:$D$54,Mapping!F$2:F$54)</f>
        <v>49.192500000000003</v>
      </c>
      <c r="G7">
        <f>_xlfn.XLOOKUP($C7,Mapping!$D$2:$D$54,Mapping!G$2:G$54)</f>
        <v>-123.1264</v>
      </c>
    </row>
    <row r="8" spans="1:7">
      <c r="A8">
        <v>2016</v>
      </c>
      <c r="B8" s="3" t="str">
        <f>_xlfn.XLOOKUP(C8,Mapping!$A$2:$A$54,Mapping!$B$2:$B$54)</f>
        <v>Canada Line</v>
      </c>
      <c r="C8" t="s">
        <v>43</v>
      </c>
      <c r="D8">
        <v>4405982</v>
      </c>
      <c r="E8" t="str">
        <f>_xlfn.XLOOKUP(C8,Mapping!$D$2:$D$54,Mapping!$E$2:$E$54)</f>
        <v>Vancouver</v>
      </c>
      <c r="F8">
        <f>_xlfn.XLOOKUP($C8,Mapping!$D$2:$D$54,Mapping!F$2:F$54)</f>
        <v>49.263100000000001</v>
      </c>
      <c r="G8">
        <f>_xlfn.XLOOKUP($C8,Mapping!$D$2:$D$54,Mapping!G$2:G$54)</f>
        <v>-123.1147</v>
      </c>
    </row>
    <row r="9" spans="1:7">
      <c r="A9">
        <v>2016</v>
      </c>
      <c r="B9" s="3" t="str">
        <f>_xlfn.XLOOKUP(C9,Mapping!$A$2:$A$54,Mapping!$B$2:$B$54)</f>
        <v>Millennium Line</v>
      </c>
      <c r="C9" t="s">
        <v>9</v>
      </c>
      <c r="D9">
        <v>56306</v>
      </c>
      <c r="E9" t="str">
        <f>_xlfn.XLOOKUP(C9,Mapping!$D$2:$D$54,Mapping!$E$2:$E$54)</f>
        <v>Coquitlam</v>
      </c>
      <c r="F9">
        <f>_xlfn.XLOOKUP($C9,Mapping!$D$2:$D$54,Mapping!F$2:F$54)</f>
        <v>49.261800000000001</v>
      </c>
      <c r="G9">
        <f>_xlfn.XLOOKUP($C9,Mapping!$D$2:$D$54,Mapping!G$2:G$54)</f>
        <v>-122.88979999999999</v>
      </c>
    </row>
    <row r="10" spans="1:7">
      <c r="A10">
        <v>2016</v>
      </c>
      <c r="B10" s="3" t="str">
        <f>_xlfn.XLOOKUP(C10,Mapping!$A$2:$A$54,Mapping!$B$2:$B$54)</f>
        <v>Expo Line</v>
      </c>
      <c r="C10" t="s">
        <v>10</v>
      </c>
      <c r="D10">
        <v>6384935</v>
      </c>
      <c r="E10" t="str">
        <f>_xlfn.XLOOKUP(C10,Mapping!$D$2:$D$54,Mapping!$E$2:$E$54)</f>
        <v>Vancouver</v>
      </c>
      <c r="F10">
        <f>_xlfn.XLOOKUP($C10,Mapping!$D$2:$D$54,Mapping!F$2:F$54)</f>
        <v>49.285600000000002</v>
      </c>
      <c r="G10">
        <f>_xlfn.XLOOKUP($C10,Mapping!$D$2:$D$54,Mapping!G$2:G$54)</f>
        <v>-123.1202</v>
      </c>
    </row>
    <row r="11" spans="1:7">
      <c r="A11">
        <v>2016</v>
      </c>
      <c r="B11" s="3" t="str">
        <f>_xlfn.XLOOKUP(C11,Mapping!$A$2:$A$54,Mapping!$B$2:$B$54)</f>
        <v>Expo Line</v>
      </c>
      <c r="C11" t="s">
        <v>11</v>
      </c>
      <c r="D11">
        <v>1450300</v>
      </c>
      <c r="E11" t="str">
        <f>_xlfn.XLOOKUP(C11,Mapping!$D$2:$D$54,Mapping!$E$2:$E$54)</f>
        <v>New Westminster</v>
      </c>
      <c r="F11">
        <f>_xlfn.XLOOKUP($C11,Mapping!$D$2:$D$54,Mapping!F$2:F$54)</f>
        <v>49.204799999999999</v>
      </c>
      <c r="G11">
        <f>_xlfn.XLOOKUP($C11,Mapping!$D$2:$D$54,Mapping!G$2:G$54)</f>
        <v>-122.9061</v>
      </c>
    </row>
    <row r="12" spans="1:7">
      <c r="A12">
        <v>2016</v>
      </c>
      <c r="B12" s="3" t="str">
        <f>_xlfn.XLOOKUP(C12,Mapping!$A$2:$A$54,Mapping!$B$2:$B$54)</f>
        <v>Expo / Millennium Line</v>
      </c>
      <c r="C12" t="s">
        <v>44</v>
      </c>
      <c r="D12">
        <v>7467518</v>
      </c>
      <c r="E12" t="str">
        <f>_xlfn.XLOOKUP(C12,Mapping!$D$2:$D$54,Mapping!$E$2:$E$54)</f>
        <v>Vancouver</v>
      </c>
      <c r="F12">
        <f>_xlfn.XLOOKUP($C12,Mapping!$D$2:$D$54,Mapping!F$2:F$54)</f>
        <v>49.262500000000003</v>
      </c>
      <c r="G12">
        <f>_xlfn.XLOOKUP($C12,Mapping!$D$2:$D$54,Mapping!G$2:G$54)</f>
        <v>-123.0694</v>
      </c>
    </row>
    <row r="13" spans="1:7">
      <c r="A13">
        <v>2016</v>
      </c>
      <c r="B13" s="3" t="str">
        <f>_xlfn.XLOOKUP(C13,Mapping!$A$2:$A$54,Mapping!$B$2:$B$54)</f>
        <v>Millennium Line</v>
      </c>
      <c r="C13" t="s">
        <v>12</v>
      </c>
      <c r="D13">
        <v>82281</v>
      </c>
      <c r="E13" t="str">
        <f>_xlfn.XLOOKUP(C13,Mapping!$D$2:$D$54,Mapping!$E$2:$E$54)</f>
        <v>Coquitlam</v>
      </c>
      <c r="F13">
        <f>_xlfn.XLOOKUP($C13,Mapping!$D$2:$D$54,Mapping!F$2:F$54)</f>
        <v>49.274000000000001</v>
      </c>
      <c r="G13">
        <f>_xlfn.XLOOKUP($C13,Mapping!$D$2:$D$54,Mapping!G$2:G$54)</f>
        <v>-122.7993</v>
      </c>
    </row>
    <row r="14" spans="1:7">
      <c r="A14">
        <v>2016</v>
      </c>
      <c r="B14" s="3" t="str">
        <f>_xlfn.XLOOKUP(C14,Mapping!$A$2:$A$54,Mapping!$B$2:$B$54)</f>
        <v>Expo Line</v>
      </c>
      <c r="C14" t="s">
        <v>13</v>
      </c>
      <c r="D14">
        <v>3566220</v>
      </c>
      <c r="E14" t="str">
        <f>_xlfn.XLOOKUP(C14,Mapping!$D$2:$D$54,Mapping!$E$2:$E$54)</f>
        <v>Burnaby</v>
      </c>
      <c r="F14">
        <f>_xlfn.XLOOKUP($C14,Mapping!$D$2:$D$54,Mapping!F$2:F$54)</f>
        <v>49.213799999999999</v>
      </c>
      <c r="G14">
        <f>_xlfn.XLOOKUP($C14,Mapping!$D$2:$D$54,Mapping!G$2:G$54)</f>
        <v>-122.9592</v>
      </c>
    </row>
    <row r="15" spans="1:7">
      <c r="A15">
        <v>2016</v>
      </c>
      <c r="B15" s="3" t="str">
        <f>_xlfn.XLOOKUP(C15,Mapping!$A$2:$A$54,Mapping!$B$2:$B$54)</f>
        <v>Expo Line</v>
      </c>
      <c r="C15" t="s">
        <v>14</v>
      </c>
      <c r="D15">
        <v>1571774</v>
      </c>
      <c r="E15" t="str">
        <f>_xlfn.XLOOKUP(C15,Mapping!$D$2:$D$54,Mapping!$E$2:$E$54)</f>
        <v>Surrey</v>
      </c>
      <c r="F15">
        <f>_xlfn.XLOOKUP($C15,Mapping!$D$2:$D$54,Mapping!F$2:F$54)</f>
        <v>49.198900000000002</v>
      </c>
      <c r="G15">
        <f>_xlfn.XLOOKUP($C15,Mapping!$D$2:$D$54,Mapping!G$2:G$54)</f>
        <v>-122.8507</v>
      </c>
    </row>
    <row r="16" spans="1:7">
      <c r="A16">
        <v>2016</v>
      </c>
      <c r="B16" s="3" t="str">
        <f>_xlfn.XLOOKUP(C16,Mapping!$A$2:$A$54,Mapping!$B$2:$B$54)</f>
        <v>Millennium Line</v>
      </c>
      <c r="C16" t="s">
        <v>15</v>
      </c>
      <c r="D16">
        <v>1106088</v>
      </c>
      <c r="E16" t="str">
        <f>_xlfn.XLOOKUP(C16,Mapping!$D$2:$D$54,Mapping!$E$2:$E$54)</f>
        <v>Burnaby</v>
      </c>
      <c r="F16">
        <f>_xlfn.XLOOKUP($C16,Mapping!$D$2:$D$54,Mapping!F$2:F$54)</f>
        <v>49.264899999999997</v>
      </c>
      <c r="G16">
        <f>_xlfn.XLOOKUP($C16,Mapping!$D$2:$D$54,Mapping!G$2:G$54)</f>
        <v>-123.01349999999999</v>
      </c>
    </row>
    <row r="17" spans="1:7">
      <c r="A17">
        <v>2016</v>
      </c>
      <c r="B17" s="3" t="str">
        <f>_xlfn.XLOOKUP(C17,Mapping!$A$2:$A$54,Mapping!$B$2:$B$54)</f>
        <v>Expo Line</v>
      </c>
      <c r="C17" t="s">
        <v>16</v>
      </c>
      <c r="D17">
        <v>6548621</v>
      </c>
      <c r="E17" t="str">
        <f>_xlfn.XLOOKUP(C17,Mapping!$D$2:$D$54,Mapping!$E$2:$E$54)</f>
        <v>Vancouver</v>
      </c>
      <c r="F17">
        <f>_xlfn.XLOOKUP($C17,Mapping!$D$2:$D$54,Mapping!F$2:F$54)</f>
        <v>49.283099999999997</v>
      </c>
      <c r="G17">
        <f>_xlfn.XLOOKUP($C17,Mapping!$D$2:$D$54,Mapping!G$2:G$54)</f>
        <v>-123.1161</v>
      </c>
    </row>
    <row r="18" spans="1:7">
      <c r="A18">
        <v>2016</v>
      </c>
      <c r="B18" s="3" t="str">
        <f>_xlfn.XLOOKUP(C18,Mapping!$A$2:$A$54,Mapping!$B$2:$B$54)</f>
        <v>Millennium Line</v>
      </c>
      <c r="C18" t="s">
        <v>17</v>
      </c>
      <c r="D18">
        <v>950058</v>
      </c>
      <c r="E18" t="str">
        <f>_xlfn.XLOOKUP(C18,Mapping!$D$2:$D$54,Mapping!$E$2:$E$54)</f>
        <v>Burnaby</v>
      </c>
      <c r="F18">
        <f>_xlfn.XLOOKUP($C18,Mapping!$D$2:$D$54,Mapping!F$2:F$54)</f>
        <v>49.264699999999998</v>
      </c>
      <c r="G18">
        <f>_xlfn.XLOOKUP($C18,Mapping!$D$2:$D$54,Mapping!G$2:G$54)</f>
        <v>-122.98220000000001</v>
      </c>
    </row>
    <row r="19" spans="1:7">
      <c r="A19">
        <v>2016</v>
      </c>
      <c r="B19" s="3" t="str">
        <f>_xlfn.XLOOKUP(C19,Mapping!$A$2:$A$54,Mapping!$B$2:$B$54)</f>
        <v>Millennium Line</v>
      </c>
      <c r="C19" t="s">
        <v>18</v>
      </c>
      <c r="D19">
        <v>43815</v>
      </c>
      <c r="E19" t="str">
        <f>_xlfn.XLOOKUP(C19,Mapping!$D$2:$D$54,Mapping!$E$2:$E$54)</f>
        <v>Port Moody</v>
      </c>
      <c r="F19">
        <f>_xlfn.XLOOKUP($C19,Mapping!$D$2:$D$54,Mapping!F$2:F$54)</f>
        <v>49.277700000000003</v>
      </c>
      <c r="G19">
        <f>_xlfn.XLOOKUP($C19,Mapping!$D$2:$D$54,Mapping!G$2:G$54)</f>
        <v>-122.82859999999999</v>
      </c>
    </row>
    <row r="20" spans="1:7">
      <c r="A20">
        <v>2016</v>
      </c>
      <c r="B20" s="3" t="str">
        <f>_xlfn.XLOOKUP(C20,Mapping!$A$2:$A$54,Mapping!$B$2:$B$54)</f>
        <v>Expo Line</v>
      </c>
      <c r="C20" t="s">
        <v>45</v>
      </c>
      <c r="D20">
        <v>4450069</v>
      </c>
      <c r="E20" t="str">
        <f>_xlfn.XLOOKUP(C20,Mapping!$D$2:$D$54,Mapping!$E$2:$E$54)</f>
        <v>Vancouver</v>
      </c>
      <c r="F20">
        <f>_xlfn.XLOOKUP($C20,Mapping!$D$2:$D$54,Mapping!F$2:F$54)</f>
        <v>49.238399999999999</v>
      </c>
      <c r="G20">
        <f>_xlfn.XLOOKUP($C20,Mapping!$D$2:$D$54,Mapping!G$2:G$54)</f>
        <v>-123.0318</v>
      </c>
    </row>
    <row r="21" spans="1:7">
      <c r="A21">
        <v>2016</v>
      </c>
      <c r="B21" s="3" t="str">
        <f>_xlfn.XLOOKUP(C21,Mapping!$A$2:$A$54,Mapping!$B$2:$B$54)</f>
        <v>Canada Line</v>
      </c>
      <c r="C21" t="s">
        <v>19</v>
      </c>
      <c r="D21">
        <v>1961438</v>
      </c>
      <c r="E21" t="str">
        <f>_xlfn.XLOOKUP(C21,Mapping!$D$2:$D$54,Mapping!$E$2:$E$54)</f>
        <v>Vancouver</v>
      </c>
      <c r="F21">
        <f>_xlfn.XLOOKUP($C21,Mapping!$D$2:$D$54,Mapping!F$2:F$54)</f>
        <v>49.249200000000002</v>
      </c>
      <c r="G21">
        <f>_xlfn.XLOOKUP($C21,Mapping!$D$2:$D$54,Mapping!G$2:G$54)</f>
        <v>-123.11579999999999</v>
      </c>
    </row>
    <row r="22" spans="1:7">
      <c r="A22">
        <v>2016</v>
      </c>
      <c r="B22" s="3" t="str">
        <f>_xlfn.XLOOKUP(C22,Mapping!$A$2:$A$54,Mapping!$B$2:$B$54)</f>
        <v>Expo Line</v>
      </c>
      <c r="C22" t="s">
        <v>20</v>
      </c>
      <c r="D22">
        <v>3697633</v>
      </c>
      <c r="E22" t="str">
        <f>_xlfn.XLOOKUP(C22,Mapping!$D$2:$D$54,Mapping!$E$2:$E$54)</f>
        <v>Surrey</v>
      </c>
      <c r="F22">
        <f>_xlfn.XLOOKUP($C22,Mapping!$D$2:$D$54,Mapping!F$2:F$54)</f>
        <v>49.182699999999997</v>
      </c>
      <c r="G22">
        <f>_xlfn.XLOOKUP($C22,Mapping!$D$2:$D$54,Mapping!G$2:G$54)</f>
        <v>-122.8451</v>
      </c>
    </row>
    <row r="23" spans="1:7">
      <c r="A23">
        <v>2016</v>
      </c>
      <c r="B23" s="3" t="str">
        <f>_xlfn.XLOOKUP(C23,Mapping!$A$2:$A$54,Mapping!$B$2:$B$54)</f>
        <v>Millennium Line</v>
      </c>
      <c r="C23" t="s">
        <v>21</v>
      </c>
      <c r="D23">
        <v>58393</v>
      </c>
      <c r="E23" t="str">
        <f>_xlfn.XLOOKUP(C23,Mapping!$D$2:$D$54,Mapping!$E$2:$E$54)</f>
        <v>Coquitlam</v>
      </c>
      <c r="F23">
        <f>_xlfn.XLOOKUP($C23,Mapping!$D$2:$D$54,Mapping!F$2:F$54)</f>
        <v>49.284700000000001</v>
      </c>
      <c r="G23">
        <f>_xlfn.XLOOKUP($C23,Mapping!$D$2:$D$54,Mapping!G$2:G$54)</f>
        <v>-122.78360000000001</v>
      </c>
    </row>
    <row r="24" spans="1:7">
      <c r="A24">
        <v>2016</v>
      </c>
      <c r="B24" s="3" t="str">
        <f>_xlfn.XLOOKUP(C24,Mapping!$A$2:$A$54,Mapping!$B$2:$B$54)</f>
        <v>Millennium Line</v>
      </c>
      <c r="C24" t="s">
        <v>22</v>
      </c>
      <c r="D24">
        <v>369630</v>
      </c>
      <c r="E24" t="str">
        <f>_xlfn.XLOOKUP(C24,Mapping!$D$2:$D$54,Mapping!$E$2:$E$54)</f>
        <v>Burnaby</v>
      </c>
      <c r="F24">
        <f>_xlfn.XLOOKUP($C24,Mapping!$D$2:$D$54,Mapping!F$2:F$54)</f>
        <v>49.254600000000003</v>
      </c>
      <c r="G24">
        <f>_xlfn.XLOOKUP($C24,Mapping!$D$2:$D$54,Mapping!G$2:G$54)</f>
        <v>-122.93770000000001</v>
      </c>
    </row>
    <row r="25" spans="1:7">
      <c r="A25">
        <v>2016</v>
      </c>
      <c r="B25" s="3" t="str">
        <f>_xlfn.XLOOKUP(C25,Mapping!$A$2:$A$54,Mapping!$B$2:$B$54)</f>
        <v>Canada Line</v>
      </c>
      <c r="C25" t="s">
        <v>46</v>
      </c>
      <c r="D25">
        <v>2084749</v>
      </c>
      <c r="E25" t="str">
        <f>_xlfn.XLOOKUP(C25,Mapping!$D$2:$D$54,Mapping!$E$2:$E$54)</f>
        <v>Vancouver</v>
      </c>
      <c r="F25">
        <f>_xlfn.XLOOKUP($C25,Mapping!$D$2:$D$54,Mapping!F$2:F$54)</f>
        <v>49.226300000000002</v>
      </c>
      <c r="G25">
        <f>_xlfn.XLOOKUP($C25,Mapping!$D$2:$D$54,Mapping!G$2:G$54)</f>
        <v>-123.1161</v>
      </c>
    </row>
    <row r="26" spans="1:7">
      <c r="A26">
        <v>2016</v>
      </c>
      <c r="B26" s="3" t="str">
        <f>_xlfn.XLOOKUP(C26,Mapping!$A$2:$A$54,Mapping!$B$2:$B$54)</f>
        <v>Canada Line</v>
      </c>
      <c r="C26" t="s">
        <v>23</v>
      </c>
      <c r="D26">
        <v>1408026</v>
      </c>
      <c r="E26" t="str">
        <f>_xlfn.XLOOKUP(C26,Mapping!$D$2:$D$54,Mapping!$E$2:$E$54)</f>
        <v>Richmond</v>
      </c>
      <c r="F26">
        <f>_xlfn.XLOOKUP($C26,Mapping!$D$2:$D$54,Mapping!F$2:F$54)</f>
        <v>49.174700000000001</v>
      </c>
      <c r="G26">
        <f>_xlfn.XLOOKUP($C26,Mapping!$D$2:$D$54,Mapping!G$2:G$54)</f>
        <v>-123.1362</v>
      </c>
    </row>
    <row r="27" spans="1:7">
      <c r="A27">
        <v>2016</v>
      </c>
      <c r="B27" s="3" t="str">
        <f>_xlfn.XLOOKUP(C27,Mapping!$A$2:$A$54,Mapping!$B$2:$B$54)</f>
        <v>Millennium Line</v>
      </c>
      <c r="C27" t="s">
        <v>24</v>
      </c>
      <c r="D27">
        <v>90905</v>
      </c>
      <c r="E27" t="str">
        <f>_xlfn.XLOOKUP(C27,Mapping!$D$2:$D$54,Mapping!$E$2:$E$54)</f>
        <v>Coquitlam</v>
      </c>
      <c r="F27">
        <f>_xlfn.XLOOKUP($C27,Mapping!$D$2:$D$54,Mapping!F$2:F$54)</f>
        <v>49.28</v>
      </c>
      <c r="G27">
        <f>_xlfn.XLOOKUP($C27,Mapping!$D$2:$D$54,Mapping!G$2:G$54)</f>
        <v>-122.7933</v>
      </c>
    </row>
    <row r="28" spans="1:7">
      <c r="A28">
        <v>2016</v>
      </c>
      <c r="B28" s="3" t="str">
        <f>_xlfn.XLOOKUP(C28,Mapping!$A$2:$A$54,Mapping!$B$2:$B$54)</f>
        <v>Expo / Millennium Line</v>
      </c>
      <c r="C28" t="s">
        <v>25</v>
      </c>
      <c r="D28">
        <v>4530692</v>
      </c>
      <c r="E28" t="str">
        <f>_xlfn.XLOOKUP(C28,Mapping!$D$2:$D$54,Mapping!$E$2:$E$54)</f>
        <v>Burnaby</v>
      </c>
      <c r="F28">
        <f>_xlfn.XLOOKUP($C28,Mapping!$D$2:$D$54,Mapping!F$2:F$54)</f>
        <v>49.2483</v>
      </c>
      <c r="G28">
        <f>_xlfn.XLOOKUP($C28,Mapping!$D$2:$D$54,Mapping!G$2:G$54)</f>
        <v>-122.89700000000001</v>
      </c>
    </row>
    <row r="29" spans="1:7">
      <c r="A29">
        <v>2016</v>
      </c>
      <c r="B29" s="3" t="str">
        <f>_xlfn.XLOOKUP(C29,Mapping!$A$2:$A$54,Mapping!$B$2:$B$54)</f>
        <v>Expo Line</v>
      </c>
      <c r="C29" t="s">
        <v>47</v>
      </c>
      <c r="D29">
        <v>4102333</v>
      </c>
      <c r="E29" t="str">
        <f>_xlfn.XLOOKUP(C29,Mapping!$D$2:$D$54,Mapping!$E$2:$E$54)</f>
        <v>Vancouver</v>
      </c>
      <c r="F29">
        <f>_xlfn.XLOOKUP($C29,Mapping!$D$2:$D$54,Mapping!F$2:F$54)</f>
        <v>49.273200000000003</v>
      </c>
      <c r="G29">
        <f>_xlfn.XLOOKUP($C29,Mapping!$D$2:$D$54,Mapping!G$2:G$54)</f>
        <v>-123.1003</v>
      </c>
    </row>
    <row r="30" spans="1:7">
      <c r="A30">
        <v>2016</v>
      </c>
      <c r="B30" s="3" t="str">
        <f>_xlfn.XLOOKUP(C30,Mapping!$A$2:$A$54,Mapping!$B$2:$B$54)</f>
        <v>Canada Line</v>
      </c>
      <c r="C30" t="s">
        <v>26</v>
      </c>
      <c r="D30">
        <v>2818141</v>
      </c>
      <c r="E30" t="str">
        <f>_xlfn.XLOOKUP(C30,Mapping!$D$2:$D$54,Mapping!$E$2:$E$54)</f>
        <v>Vancouver</v>
      </c>
      <c r="F30">
        <f>_xlfn.XLOOKUP($C30,Mapping!$D$2:$D$54,Mapping!F$2:F$54)</f>
        <v>49.209800000000001</v>
      </c>
      <c r="G30">
        <f>_xlfn.XLOOKUP($C30,Mapping!$D$2:$D$54,Mapping!G$2:G$54)</f>
        <v>-123.1174</v>
      </c>
    </row>
    <row r="31" spans="1:7">
      <c r="A31">
        <v>2016</v>
      </c>
      <c r="B31" s="3" t="str">
        <f>_xlfn.XLOOKUP(C31,Mapping!$A$2:$A$54,Mapping!$B$2:$B$54)</f>
        <v>Expo Line</v>
      </c>
      <c r="C31" t="s">
        <v>27</v>
      </c>
      <c r="D31">
        <v>6454695</v>
      </c>
      <c r="E31" t="str">
        <f>_xlfn.XLOOKUP(C31,Mapping!$D$2:$D$54,Mapping!$E$2:$E$54)</f>
        <v>Burnaby</v>
      </c>
      <c r="F31">
        <f>_xlfn.XLOOKUP($C31,Mapping!$D$2:$D$54,Mapping!F$2:F$54)</f>
        <v>49.225700000000003</v>
      </c>
      <c r="G31">
        <f>_xlfn.XLOOKUP($C31,Mapping!$D$2:$D$54,Mapping!G$2:G$54)</f>
        <v>-123.0039</v>
      </c>
    </row>
    <row r="32" spans="1:7">
      <c r="A32">
        <v>2016</v>
      </c>
      <c r="B32" s="3" t="str">
        <f>_xlfn.XLOOKUP(C32,Mapping!$A$2:$A$54,Mapping!$B$2:$B$54)</f>
        <v>Millennium Line</v>
      </c>
      <c r="C32" t="s">
        <v>28</v>
      </c>
      <c r="D32">
        <v>36461</v>
      </c>
      <c r="E32" t="str">
        <f>_xlfn.XLOOKUP(C32,Mapping!$D$2:$D$54,Mapping!$E$2:$E$54)</f>
        <v>Port Moody</v>
      </c>
      <c r="F32">
        <f>_xlfn.XLOOKUP($C32,Mapping!$D$2:$D$54,Mapping!F$2:F$54)</f>
        <v>49.278300000000002</v>
      </c>
      <c r="G32">
        <f>_xlfn.XLOOKUP($C32,Mapping!$D$2:$D$54,Mapping!G$2:G$54)</f>
        <v>-122.845</v>
      </c>
    </row>
    <row r="33" spans="1:7">
      <c r="A33">
        <v>2016</v>
      </c>
      <c r="B33" s="3" t="str">
        <f>_xlfn.XLOOKUP(C33,Mapping!$A$2:$A$54,Mapping!$B$2:$B$54)</f>
        <v>Expo Line</v>
      </c>
      <c r="C33" t="s">
        <v>29</v>
      </c>
      <c r="D33">
        <v>2131732</v>
      </c>
      <c r="E33" t="str">
        <f>_xlfn.XLOOKUP(C33,Mapping!$D$2:$D$54,Mapping!$E$2:$E$54)</f>
        <v>Vancouver</v>
      </c>
      <c r="F33">
        <f>_xlfn.XLOOKUP($C33,Mapping!$D$2:$D$54,Mapping!F$2:F$54)</f>
        <v>49.2483</v>
      </c>
      <c r="G33">
        <f>_xlfn.XLOOKUP($C33,Mapping!$D$2:$D$54,Mapping!G$2:G$54)</f>
        <v>-123.05589999999999</v>
      </c>
    </row>
    <row r="34" spans="1:7">
      <c r="A34">
        <v>2016</v>
      </c>
      <c r="B34" s="3" t="str">
        <f>_xlfn.XLOOKUP(C34,Mapping!$A$2:$A$54,Mapping!$B$2:$B$54)</f>
        <v>Expo Line</v>
      </c>
      <c r="C34" t="s">
        <v>30</v>
      </c>
      <c r="D34">
        <v>4098984</v>
      </c>
      <c r="E34" t="str">
        <f>_xlfn.XLOOKUP(C34,Mapping!$D$2:$D$54,Mapping!$E$2:$E$54)</f>
        <v>New Westminster</v>
      </c>
      <c r="F34">
        <f>_xlfn.XLOOKUP($C34,Mapping!$D$2:$D$54,Mapping!F$2:F$54)</f>
        <v>49.201500000000003</v>
      </c>
      <c r="G34">
        <f>_xlfn.XLOOKUP($C34,Mapping!$D$2:$D$54,Mapping!G$2:G$54)</f>
        <v>-122.9126</v>
      </c>
    </row>
    <row r="35" spans="1:7">
      <c r="A35">
        <v>2016</v>
      </c>
      <c r="B35" s="3" t="str">
        <f>_xlfn.XLOOKUP(C35,Mapping!$A$2:$A$54,Mapping!$B$2:$B$54)</f>
        <v>Canada Line</v>
      </c>
      <c r="C35" t="s">
        <v>48</v>
      </c>
      <c r="D35">
        <v>2699082</v>
      </c>
      <c r="E35" t="str">
        <f>_xlfn.XLOOKUP(C35,Mapping!$D$2:$D$54,Mapping!$E$2:$E$54)</f>
        <v>Vancouver</v>
      </c>
      <c r="F35">
        <f>_xlfn.XLOOKUP($C35,Mapping!$D$2:$D$54,Mapping!F$2:F$54)</f>
        <v>49.232999999999997</v>
      </c>
      <c r="G35">
        <f>_xlfn.XLOOKUP($C35,Mapping!$D$2:$D$54,Mapping!G$2:G$54)</f>
        <v>-123.1161</v>
      </c>
    </row>
    <row r="36" spans="1:7">
      <c r="A36">
        <v>2016</v>
      </c>
      <c r="B36" s="3" t="str">
        <f>_xlfn.XLOOKUP(C36,Mapping!$A$2:$A$54,Mapping!$B$2:$B$54)</f>
        <v>Canada Line</v>
      </c>
      <c r="C36" t="s">
        <v>31</v>
      </c>
      <c r="D36">
        <v>1513479</v>
      </c>
      <c r="E36" t="str">
        <f>_xlfn.XLOOKUP(C36,Mapping!$D$2:$D$54,Mapping!$E$2:$E$54)</f>
        <v>Vancouver</v>
      </c>
      <c r="F36">
        <f>_xlfn.XLOOKUP($C36,Mapping!$D$2:$D$54,Mapping!F$2:F$54)</f>
        <v>49.266500000000001</v>
      </c>
      <c r="G36">
        <f>_xlfn.XLOOKUP($C36,Mapping!$D$2:$D$54,Mapping!G$2:G$54)</f>
        <v>-123.1156</v>
      </c>
    </row>
    <row r="37" spans="1:7">
      <c r="A37">
        <v>2016</v>
      </c>
      <c r="B37" s="3" t="str">
        <f>_xlfn.XLOOKUP(C37,Mapping!$A$2:$A$54,Mapping!$B$2:$B$54)</f>
        <v>Expo Line</v>
      </c>
      <c r="C37" t="s">
        <v>32</v>
      </c>
      <c r="D37">
        <v>1673488</v>
      </c>
      <c r="E37" t="str">
        <f>_xlfn.XLOOKUP(C37,Mapping!$D$2:$D$54,Mapping!$E$2:$E$54)</f>
        <v>Burnaby</v>
      </c>
      <c r="F37">
        <f>_xlfn.XLOOKUP($C37,Mapping!$D$2:$D$54,Mapping!F$2:F$54)</f>
        <v>49.229700000000001</v>
      </c>
      <c r="G37">
        <f>_xlfn.XLOOKUP($C37,Mapping!$D$2:$D$54,Mapping!G$2:G$54)</f>
        <v>-123.01260000000001</v>
      </c>
    </row>
    <row r="38" spans="1:7">
      <c r="A38">
        <v>2016</v>
      </c>
      <c r="B38" s="3" t="str">
        <f>_xlfn.XLOOKUP(C38,Mapping!$A$2:$A$54,Mapping!$B$2:$B$54)</f>
        <v>Expo / Millennium Line</v>
      </c>
      <c r="C38" t="s">
        <v>49</v>
      </c>
      <c r="D38">
        <v>1659118</v>
      </c>
      <c r="E38" t="str">
        <f>_xlfn.XLOOKUP(C38,Mapping!$D$2:$D$54,Mapping!$E$2:$E$54)</f>
        <v>Burnaby</v>
      </c>
      <c r="F38">
        <f>_xlfn.XLOOKUP($C38,Mapping!$D$2:$D$54,Mapping!F$2:F$54)</f>
        <v>49.253300000000003</v>
      </c>
      <c r="G38">
        <f>_xlfn.XLOOKUP($C38,Mapping!$D$2:$D$54,Mapping!G$2:G$54)</f>
        <v>-122.91800000000001</v>
      </c>
    </row>
    <row r="39" spans="1:7">
      <c r="A39">
        <v>2016</v>
      </c>
      <c r="B39" s="3" t="str">
        <f>_xlfn.XLOOKUP(C39,Mapping!$A$2:$A$54,Mapping!$B$2:$B$54)</f>
        <v>Millennium Line</v>
      </c>
      <c r="C39" t="s">
        <v>33</v>
      </c>
      <c r="D39">
        <v>1100720</v>
      </c>
      <c r="E39" t="str">
        <f>_xlfn.XLOOKUP(C39,Mapping!$D$2:$D$54,Mapping!$E$2:$E$54)</f>
        <v>Vancouver</v>
      </c>
      <c r="F39">
        <f>_xlfn.XLOOKUP($C39,Mapping!$D$2:$D$54,Mapping!F$2:F$54)</f>
        <v>49.258800000000001</v>
      </c>
      <c r="G39">
        <f>_xlfn.XLOOKUP($C39,Mapping!$D$2:$D$54,Mapping!G$2:G$54)</f>
        <v>-123.0453</v>
      </c>
    </row>
    <row r="40" spans="1:7">
      <c r="A40">
        <v>2016</v>
      </c>
      <c r="B40" s="3" t="str">
        <f>_xlfn.XLOOKUP(C40,Mapping!$A$2:$A$54,Mapping!$B$2:$B$54)</f>
        <v>Canada Line</v>
      </c>
      <c r="C40" t="s">
        <v>50</v>
      </c>
      <c r="D40">
        <v>3692110</v>
      </c>
      <c r="E40" t="str">
        <f>_xlfn.XLOOKUP(C40,Mapping!$D$2:$D$54,Mapping!$E$2:$E$54)</f>
        <v>Richmond</v>
      </c>
      <c r="F40">
        <f>_xlfn.XLOOKUP($C40,Mapping!$D$2:$D$54,Mapping!F$2:F$54)</f>
        <v>49.168100000000003</v>
      </c>
      <c r="G40">
        <f>_xlfn.XLOOKUP($C40,Mapping!$D$2:$D$54,Mapping!G$2:G$54)</f>
        <v>-123.1362</v>
      </c>
    </row>
    <row r="41" spans="1:7">
      <c r="A41">
        <v>2016</v>
      </c>
      <c r="B41" s="3" t="str">
        <f>_xlfn.XLOOKUP(C41,Mapping!$A$2:$A$54,Mapping!$B$2:$B$54)</f>
        <v>Expo Line</v>
      </c>
      <c r="C41" t="s">
        <v>34</v>
      </c>
      <c r="D41">
        <v>1665375</v>
      </c>
      <c r="E41" t="str">
        <f>_xlfn.XLOOKUP(C41,Mapping!$D$2:$D$54,Mapping!$E$2:$E$54)</f>
        <v>Burnaby</v>
      </c>
      <c r="F41">
        <f>_xlfn.XLOOKUP($C41,Mapping!$D$2:$D$54,Mapping!F$2:F$54)</f>
        <v>49.220100000000002</v>
      </c>
      <c r="G41">
        <f>_xlfn.XLOOKUP($C41,Mapping!$D$2:$D$54,Mapping!G$2:G$54)</f>
        <v>-122.9884</v>
      </c>
    </row>
    <row r="42" spans="1:7">
      <c r="A42">
        <v>2016</v>
      </c>
      <c r="B42" s="3" t="str">
        <f>_xlfn.XLOOKUP(C42,Mapping!$A$2:$A$54,Mapping!$B$2:$B$54)</f>
        <v>Millennium Line</v>
      </c>
      <c r="C42" t="s">
        <v>35</v>
      </c>
      <c r="D42">
        <v>933186</v>
      </c>
      <c r="E42" t="str">
        <f>_xlfn.XLOOKUP(C42,Mapping!$D$2:$D$54,Mapping!$E$2:$E$54)</f>
        <v>Vancouver</v>
      </c>
      <c r="F42">
        <f>_xlfn.XLOOKUP($C42,Mapping!$D$2:$D$54,Mapping!F$2:F$54)</f>
        <v>49.258800000000001</v>
      </c>
      <c r="G42">
        <f>_xlfn.XLOOKUP($C42,Mapping!$D$2:$D$54,Mapping!G$2:G$54)</f>
        <v>-123.02670000000001</v>
      </c>
    </row>
    <row r="43" spans="1:7">
      <c r="A43">
        <v>2016</v>
      </c>
      <c r="B43" s="3" t="str">
        <f>_xlfn.XLOOKUP(C43,Mapping!$A$2:$A$54,Mapping!$B$2:$B$54)</f>
        <v>Expo Line</v>
      </c>
      <c r="C43" t="s">
        <v>36</v>
      </c>
      <c r="D43">
        <v>877099</v>
      </c>
      <c r="E43" t="str">
        <f>_xlfn.XLOOKUP(C43,Mapping!$D$2:$D$54,Mapping!$E$2:$E$54)</f>
        <v>New Westminster</v>
      </c>
      <c r="F43">
        <f>_xlfn.XLOOKUP($C43,Mapping!$D$2:$D$54,Mapping!F$2:F$54)</f>
        <v>49.2254</v>
      </c>
      <c r="G43">
        <f>_xlfn.XLOOKUP($C43,Mapping!$D$2:$D$54,Mapping!G$2:G$54)</f>
        <v>-122.88639999999999</v>
      </c>
    </row>
    <row r="44" spans="1:7">
      <c r="A44">
        <v>2016</v>
      </c>
      <c r="B44" s="3" t="str">
        <f>_xlfn.XLOOKUP(C44,Mapping!$A$2:$A$54,Mapping!$B$2:$B$54)</f>
        <v>Expo Line</v>
      </c>
      <c r="C44" t="s">
        <v>37</v>
      </c>
      <c r="D44">
        <v>2542464</v>
      </c>
      <c r="E44" t="str">
        <f>_xlfn.XLOOKUP(C44,Mapping!$D$2:$D$54,Mapping!$E$2:$E$54)</f>
        <v>Surrey</v>
      </c>
      <c r="F44">
        <f>_xlfn.XLOOKUP($C44,Mapping!$D$2:$D$54,Mapping!F$2:F$54)</f>
        <v>49.2044</v>
      </c>
      <c r="G44">
        <f>_xlfn.XLOOKUP($C44,Mapping!$D$2:$D$54,Mapping!G$2:G$54)</f>
        <v>-122.87430000000001</v>
      </c>
    </row>
    <row r="45" spans="1:7">
      <c r="A45">
        <v>2016</v>
      </c>
      <c r="B45" s="3" t="str">
        <f>_xlfn.XLOOKUP(C45,Mapping!$A$2:$A$54,Mapping!$B$2:$B$54)</f>
        <v>Canada Line</v>
      </c>
      <c r="C45" t="s">
        <v>38</v>
      </c>
      <c r="D45">
        <v>203582</v>
      </c>
      <c r="E45" t="str">
        <f>_xlfn.XLOOKUP(C45,Mapping!$D$2:$D$54,Mapping!$E$2:$E$54)</f>
        <v>Richmond</v>
      </c>
      <c r="F45">
        <f>_xlfn.XLOOKUP($C45,Mapping!$D$2:$D$54,Mapping!F$2:F$54)</f>
        <v>49.193100000000001</v>
      </c>
      <c r="G45">
        <f>_xlfn.XLOOKUP($C45,Mapping!$D$2:$D$54,Mapping!G$2:G$54)</f>
        <v>-123.1553</v>
      </c>
    </row>
    <row r="46" spans="1:7">
      <c r="A46">
        <v>2016</v>
      </c>
      <c r="B46" s="3" t="str">
        <f>_xlfn.XLOOKUP(C46,Mapping!$A$2:$A$54,Mapping!$B$2:$B$54)</f>
        <v>Millennium Line</v>
      </c>
      <c r="C46" t="s">
        <v>51</v>
      </c>
      <c r="D46">
        <v>637899</v>
      </c>
      <c r="E46" t="str">
        <f>_xlfn.XLOOKUP(C46,Mapping!$D$2:$D$54,Mapping!$E$2:$E$54)</f>
        <v>Burnaby</v>
      </c>
      <c r="F46">
        <f>_xlfn.XLOOKUP($C46,Mapping!$D$2:$D$54,Mapping!F$2:F$54)</f>
        <v>49.2592</v>
      </c>
      <c r="G46">
        <f>_xlfn.XLOOKUP($C46,Mapping!$D$2:$D$54,Mapping!G$2:G$54)</f>
        <v>-122.96420000000001</v>
      </c>
    </row>
    <row r="47" spans="1:7">
      <c r="A47">
        <v>2016</v>
      </c>
      <c r="B47" s="3" t="str">
        <f>_xlfn.XLOOKUP(C47,Mapping!$A$2:$A$54,Mapping!$B$2:$B$54)</f>
        <v>Expo Line</v>
      </c>
      <c r="C47" t="s">
        <v>52</v>
      </c>
      <c r="D47">
        <v>4676771</v>
      </c>
      <c r="E47" t="str">
        <f>_xlfn.XLOOKUP(C47,Mapping!$D$2:$D$54,Mapping!$E$2:$E$54)</f>
        <v>Vancouver</v>
      </c>
      <c r="F47">
        <f>_xlfn.XLOOKUP($C47,Mapping!$D$2:$D$54,Mapping!F$2:F$54)</f>
        <v>49.279600000000002</v>
      </c>
      <c r="G47">
        <f>_xlfn.XLOOKUP($C47,Mapping!$D$2:$D$54,Mapping!G$2:G$54)</f>
        <v>-123.10980000000001</v>
      </c>
    </row>
    <row r="48" spans="1:7">
      <c r="A48">
        <v>2016</v>
      </c>
      <c r="B48" s="3" t="str">
        <f>_xlfn.XLOOKUP(C48,Mapping!$A$2:$A$54,Mapping!$B$2:$B$54)</f>
        <v>Expo Line</v>
      </c>
      <c r="C48" t="s">
        <v>39</v>
      </c>
      <c r="D48">
        <v>3649382</v>
      </c>
      <c r="E48" t="str">
        <f>_xlfn.XLOOKUP(C48,Mapping!$D$2:$D$54,Mapping!$E$2:$E$54)</f>
        <v>Surrey</v>
      </c>
      <c r="F48">
        <f>_xlfn.XLOOKUP($C48,Mapping!$D$2:$D$54,Mapping!F$2:F$54)</f>
        <v>49.189599999999999</v>
      </c>
      <c r="G48">
        <f>_xlfn.XLOOKUP($C48,Mapping!$D$2:$D$54,Mapping!G$2:G$54)</f>
        <v>-122.8479</v>
      </c>
    </row>
    <row r="49" spans="1:7">
      <c r="A49">
        <v>2016</v>
      </c>
      <c r="B49" s="3" t="str">
        <f>_xlfn.XLOOKUP(C49,Mapping!$A$2:$A$54,Mapping!$B$2:$B$54)</f>
        <v>Canada Line</v>
      </c>
      <c r="C49" t="s">
        <v>40</v>
      </c>
      <c r="D49">
        <v>877934</v>
      </c>
      <c r="E49" t="str">
        <f>_xlfn.XLOOKUP(C49,Mapping!$D$2:$D$54,Mapping!$E$2:$E$54)</f>
        <v>Richmond</v>
      </c>
      <c r="F49">
        <f>_xlfn.XLOOKUP($C49,Mapping!$D$2:$D$54,Mapping!F$2:F$54)</f>
        <v>49.196300000000001</v>
      </c>
      <c r="G49">
        <f>_xlfn.XLOOKUP($C49,Mapping!$D$2:$D$54,Mapping!G$2:G$54)</f>
        <v>-123.1465</v>
      </c>
    </row>
    <row r="50" spans="1:7">
      <c r="A50">
        <v>2016</v>
      </c>
      <c r="B50" s="3" t="str">
        <f>_xlfn.XLOOKUP(C50,Mapping!$A$2:$A$54,Mapping!$B$2:$B$54)</f>
        <v>Canada Line</v>
      </c>
      <c r="C50" t="s">
        <v>41</v>
      </c>
      <c r="D50">
        <v>5874274</v>
      </c>
      <c r="E50" t="str">
        <f>_xlfn.XLOOKUP(C50,Mapping!$D$2:$D$54,Mapping!$E$2:$E$54)</f>
        <v>Vancouver</v>
      </c>
      <c r="F50">
        <f>_xlfn.XLOOKUP($C50,Mapping!$D$2:$D$54,Mapping!F$2:F$54)</f>
        <v>49.282499999999999</v>
      </c>
      <c r="G50">
        <f>_xlfn.XLOOKUP($C50,Mapping!$D$2:$D$54,Mapping!G$2:G$54)</f>
        <v>-123.1185</v>
      </c>
    </row>
    <row r="51" spans="1:7">
      <c r="A51">
        <v>2016</v>
      </c>
      <c r="B51" s="3" t="str">
        <f>_xlfn.XLOOKUP(C51,Mapping!$A$2:$A$54,Mapping!$B$2:$B$54)</f>
        <v>Millennium Line</v>
      </c>
      <c r="C51" t="s">
        <v>53</v>
      </c>
      <c r="D51">
        <v>792143</v>
      </c>
      <c r="E51" t="str">
        <f>_xlfn.XLOOKUP(C51,Mapping!$D$2:$D$54,Mapping!$E$2:$E$54)</f>
        <v>Vancouver</v>
      </c>
      <c r="F51">
        <f>_xlfn.XLOOKUP($C51,Mapping!$D$2:$D$54,Mapping!F$2:F$54)</f>
        <v>49.265799999999999</v>
      </c>
      <c r="G51">
        <f>_xlfn.XLOOKUP($C51,Mapping!$D$2:$D$54,Mapping!G$2:G$54)</f>
        <v>-123.0792</v>
      </c>
    </row>
    <row r="52" spans="1:7">
      <c r="A52">
        <v>2016</v>
      </c>
      <c r="B52" s="3" t="str">
        <f>_xlfn.XLOOKUP(C52,Mapping!$A$2:$A$54,Mapping!$B$2:$B$54)</f>
        <v>Expo / Canada Line</v>
      </c>
      <c r="C52" t="s">
        <v>42</v>
      </c>
      <c r="D52">
        <v>11523666</v>
      </c>
      <c r="E52" t="str">
        <f>_xlfn.XLOOKUP(C52,Mapping!$D$2:$D$54,Mapping!$E$2:$E$54)</f>
        <v>Vancouver</v>
      </c>
      <c r="F52">
        <f>_xlfn.XLOOKUP($C52,Mapping!$D$2:$D$54,Mapping!F$2:F$54)</f>
        <v>49.285899999999998</v>
      </c>
      <c r="G52">
        <f>_xlfn.XLOOKUP($C52,Mapping!$D$2:$D$54,Mapping!G$2:G$54)</f>
        <v>-123.1118</v>
      </c>
    </row>
    <row r="53" spans="1:7">
      <c r="A53">
        <v>2016</v>
      </c>
      <c r="B53" s="3" t="str">
        <f>_xlfn.XLOOKUP(C53,Mapping!$A$2:$A$54,Mapping!$B$2:$B$54)</f>
        <v>Canada Line</v>
      </c>
      <c r="C53" t="s">
        <v>54</v>
      </c>
      <c r="D53">
        <v>3142844</v>
      </c>
      <c r="E53" t="str">
        <f>_xlfn.XLOOKUP(C53,Mapping!$D$2:$D$54,Mapping!$E$2:$E$54)</f>
        <v>Vancouver</v>
      </c>
      <c r="F53">
        <f>_xlfn.XLOOKUP($C53,Mapping!$D$2:$D$54,Mapping!F$2:F$54)</f>
        <v>49.274500000000003</v>
      </c>
      <c r="G53">
        <f>_xlfn.XLOOKUP($C53,Mapping!$D$2:$D$54,Mapping!G$2:G$54)</f>
        <v>-123.1219</v>
      </c>
    </row>
    <row r="54" spans="1:7">
      <c r="A54">
        <v>2016</v>
      </c>
      <c r="B54" s="3" t="str">
        <f>_xlfn.XLOOKUP(C54,Mapping!$A$2:$A$54,Mapping!$B$2:$B$54)</f>
        <v>Canada Line</v>
      </c>
      <c r="C54" t="s">
        <v>55</v>
      </c>
      <c r="D54">
        <v>2474130</v>
      </c>
      <c r="E54" t="str">
        <f>_xlfn.XLOOKUP(C54,Mapping!$D$2:$D$54,Mapping!$E$2:$E$54)</f>
        <v>Richmond</v>
      </c>
      <c r="F54">
        <f>_xlfn.XLOOKUP($C54,Mapping!$D$2:$D$54,Mapping!F$2:F$54)</f>
        <v>49.193899999999999</v>
      </c>
      <c r="G54">
        <f>_xlfn.XLOOKUP($C54,Mapping!$D$2:$D$54,Mapping!G$2:G$54)</f>
        <v>-123.1765</v>
      </c>
    </row>
    <row r="55" spans="1:7">
      <c r="A55">
        <v>2017</v>
      </c>
      <c r="B55" s="3" t="str">
        <f>_xlfn.XLOOKUP(C55,Mapping!$A$2:$A$54,Mapping!$B$2:$B$54)</f>
        <v>Expo Line</v>
      </c>
      <c r="C55" t="s">
        <v>3</v>
      </c>
      <c r="D55">
        <v>3089470</v>
      </c>
      <c r="E55" t="str">
        <f>_xlfn.XLOOKUP(C55,Mapping!$D$2:$D$54,Mapping!$E$2:$E$54)</f>
        <v>New Westminster</v>
      </c>
      <c r="F55">
        <f>_xlfn.XLOOKUP($C55,Mapping!$D$2:$D$54,Mapping!F$2:F$54)</f>
        <v>49.2</v>
      </c>
      <c r="G55">
        <f>_xlfn.XLOOKUP($C55,Mapping!$D$2:$D$54,Mapping!G$2:G$54)</f>
        <v>-122.949</v>
      </c>
    </row>
    <row r="56" spans="1:7">
      <c r="A56">
        <v>2017</v>
      </c>
      <c r="B56" s="3" t="str">
        <f>_xlfn.XLOOKUP(C56,Mapping!$A$2:$A$54,Mapping!$B$2:$B$54)</f>
        <v>Expo Line</v>
      </c>
      <c r="C56" t="s">
        <v>4</v>
      </c>
      <c r="D56">
        <v>2312294</v>
      </c>
      <c r="E56" t="str">
        <f>_xlfn.XLOOKUP(C56,Mapping!$D$2:$D$54,Mapping!$E$2:$E$54)</f>
        <v>Vancouver</v>
      </c>
      <c r="F56">
        <f>_xlfn.XLOOKUP($C56,Mapping!$D$2:$D$54,Mapping!F$2:F$54)</f>
        <v>49.244300000000003</v>
      </c>
      <c r="G56">
        <f>_xlfn.XLOOKUP($C56,Mapping!$D$2:$D$54,Mapping!G$2:G$54)</f>
        <v>-123.045</v>
      </c>
    </row>
    <row r="57" spans="1:7">
      <c r="A57">
        <v>2017</v>
      </c>
      <c r="B57" s="3" t="str">
        <f>_xlfn.XLOOKUP(C57,Mapping!$A$2:$A$54,Mapping!$B$2:$B$54)</f>
        <v>Canada Line</v>
      </c>
      <c r="C57" t="s">
        <v>5</v>
      </c>
      <c r="D57">
        <v>1561131</v>
      </c>
      <c r="E57" t="str">
        <f>_xlfn.XLOOKUP(C57,Mapping!$D$2:$D$54,Mapping!$E$2:$E$54)</f>
        <v>Richmond</v>
      </c>
      <c r="F57">
        <f>_xlfn.XLOOKUP($C57,Mapping!$D$2:$D$54,Mapping!F$2:F$54)</f>
        <v>49.1843</v>
      </c>
      <c r="G57">
        <f>_xlfn.XLOOKUP($C57,Mapping!$D$2:$D$54,Mapping!G$2:G$54)</f>
        <v>-123.1362</v>
      </c>
    </row>
    <row r="58" spans="1:7">
      <c r="A58">
        <v>2017</v>
      </c>
      <c r="B58" s="3" t="str">
        <f>_xlfn.XLOOKUP(C58,Mapping!$A$2:$A$54,Mapping!$B$2:$B$54)</f>
        <v>Expo Line</v>
      </c>
      <c r="C58" t="s">
        <v>6</v>
      </c>
      <c r="D58">
        <v>1229996</v>
      </c>
      <c r="E58" t="str">
        <f>_xlfn.XLOOKUP(C58,Mapping!$D$2:$D$54,Mapping!$E$2:$E$54)</f>
        <v>New Westminster</v>
      </c>
      <c r="F58">
        <f>_xlfn.XLOOKUP($C58,Mapping!$D$2:$D$54,Mapping!F$2:F$54)</f>
        <v>49.232999999999997</v>
      </c>
      <c r="G58">
        <f>_xlfn.XLOOKUP($C58,Mapping!$D$2:$D$54,Mapping!G$2:G$54)</f>
        <v>-122.8828</v>
      </c>
    </row>
    <row r="59" spans="1:7">
      <c r="A59">
        <v>2017</v>
      </c>
      <c r="B59" s="3" t="str">
        <f>_xlfn.XLOOKUP(C59,Mapping!$A$2:$A$54,Mapping!$B$2:$B$54)</f>
        <v>Millennium Line</v>
      </c>
      <c r="C59" t="s">
        <v>7</v>
      </c>
      <c r="D59">
        <v>1650037</v>
      </c>
      <c r="E59" t="str">
        <f>_xlfn.XLOOKUP(C59,Mapping!$D$2:$D$54,Mapping!$E$2:$E$54)</f>
        <v>Burnaby</v>
      </c>
      <c r="F59">
        <f>_xlfn.XLOOKUP($C59,Mapping!$D$2:$D$54,Mapping!F$2:F$54)</f>
        <v>49.266199999999998</v>
      </c>
      <c r="G59">
        <f>_xlfn.XLOOKUP($C59,Mapping!$D$2:$D$54,Mapping!G$2:G$54)</f>
        <v>-123.0016</v>
      </c>
    </row>
    <row r="60" spans="1:7">
      <c r="A60">
        <v>2017</v>
      </c>
      <c r="B60" s="3" t="str">
        <f>_xlfn.XLOOKUP(C60,Mapping!$A$2:$A$54,Mapping!$B$2:$B$54)</f>
        <v>Canada Line</v>
      </c>
      <c r="C60" t="s">
        <v>8</v>
      </c>
      <c r="D60">
        <v>3693721</v>
      </c>
      <c r="E60" t="str">
        <f>_xlfn.XLOOKUP(C60,Mapping!$D$2:$D$54,Mapping!$E$2:$E$54)</f>
        <v>Richmond</v>
      </c>
      <c r="F60">
        <f>_xlfn.XLOOKUP($C60,Mapping!$D$2:$D$54,Mapping!F$2:F$54)</f>
        <v>49.192500000000003</v>
      </c>
      <c r="G60">
        <f>_xlfn.XLOOKUP($C60,Mapping!$D$2:$D$54,Mapping!G$2:G$54)</f>
        <v>-123.1264</v>
      </c>
    </row>
    <row r="61" spans="1:7">
      <c r="A61">
        <v>2017</v>
      </c>
      <c r="B61" s="3" t="str">
        <f>_xlfn.XLOOKUP(C61,Mapping!$A$2:$A$54,Mapping!$B$2:$B$54)</f>
        <v>Canada Line</v>
      </c>
      <c r="C61" t="s">
        <v>43</v>
      </c>
      <c r="D61">
        <v>4616080</v>
      </c>
      <c r="E61" t="str">
        <f>_xlfn.XLOOKUP(C61,Mapping!$D$2:$D$54,Mapping!$E$2:$E$54)</f>
        <v>Vancouver</v>
      </c>
      <c r="F61">
        <f>_xlfn.XLOOKUP($C61,Mapping!$D$2:$D$54,Mapping!F$2:F$54)</f>
        <v>49.263100000000001</v>
      </c>
      <c r="G61">
        <f>_xlfn.XLOOKUP($C61,Mapping!$D$2:$D$54,Mapping!G$2:G$54)</f>
        <v>-123.1147</v>
      </c>
    </row>
    <row r="62" spans="1:7">
      <c r="A62">
        <v>2017</v>
      </c>
      <c r="B62" s="3" t="str">
        <f>_xlfn.XLOOKUP(C62,Mapping!$A$2:$A$54,Mapping!$B$2:$B$54)</f>
        <v>Millennium Line</v>
      </c>
      <c r="C62" t="s">
        <v>9</v>
      </c>
      <c r="D62">
        <v>1199993</v>
      </c>
      <c r="E62" t="str">
        <f>_xlfn.XLOOKUP(C62,Mapping!$D$2:$D$54,Mapping!$E$2:$E$54)</f>
        <v>Coquitlam</v>
      </c>
      <c r="F62">
        <f>_xlfn.XLOOKUP($C62,Mapping!$D$2:$D$54,Mapping!F$2:F$54)</f>
        <v>49.261800000000001</v>
      </c>
      <c r="G62">
        <f>_xlfn.XLOOKUP($C62,Mapping!$D$2:$D$54,Mapping!G$2:G$54)</f>
        <v>-122.88979999999999</v>
      </c>
    </row>
    <row r="63" spans="1:7">
      <c r="A63">
        <v>2017</v>
      </c>
      <c r="B63" s="3" t="str">
        <f>_xlfn.XLOOKUP(C63,Mapping!$A$2:$A$54,Mapping!$B$2:$B$54)</f>
        <v>Expo Line</v>
      </c>
      <c r="C63" t="s">
        <v>10</v>
      </c>
      <c r="D63">
        <v>7006833</v>
      </c>
      <c r="E63" t="str">
        <f>_xlfn.XLOOKUP(C63,Mapping!$D$2:$D$54,Mapping!$E$2:$E$54)</f>
        <v>Vancouver</v>
      </c>
      <c r="F63">
        <f>_xlfn.XLOOKUP($C63,Mapping!$D$2:$D$54,Mapping!F$2:F$54)</f>
        <v>49.285600000000002</v>
      </c>
      <c r="G63">
        <f>_xlfn.XLOOKUP($C63,Mapping!$D$2:$D$54,Mapping!G$2:G$54)</f>
        <v>-123.1202</v>
      </c>
    </row>
    <row r="64" spans="1:7">
      <c r="A64">
        <v>2017</v>
      </c>
      <c r="B64" s="3" t="str">
        <f>_xlfn.XLOOKUP(C64,Mapping!$A$2:$A$54,Mapping!$B$2:$B$54)</f>
        <v>Expo Line</v>
      </c>
      <c r="C64" t="s">
        <v>11</v>
      </c>
      <c r="D64">
        <v>1519136</v>
      </c>
      <c r="E64" t="str">
        <f>_xlfn.XLOOKUP(C64,Mapping!$D$2:$D$54,Mapping!$E$2:$E$54)</f>
        <v>New Westminster</v>
      </c>
      <c r="F64">
        <f>_xlfn.XLOOKUP($C64,Mapping!$D$2:$D$54,Mapping!F$2:F$54)</f>
        <v>49.204799999999999</v>
      </c>
      <c r="G64">
        <f>_xlfn.XLOOKUP($C64,Mapping!$D$2:$D$54,Mapping!G$2:G$54)</f>
        <v>-122.9061</v>
      </c>
    </row>
    <row r="65" spans="1:7">
      <c r="A65">
        <v>2017</v>
      </c>
      <c r="B65" s="3" t="str">
        <f>_xlfn.XLOOKUP(C65,Mapping!$A$2:$A$54,Mapping!$B$2:$B$54)</f>
        <v>Expo / Millennium Line</v>
      </c>
      <c r="C65" t="s">
        <v>44</v>
      </c>
      <c r="D65">
        <v>8031136</v>
      </c>
      <c r="E65" t="str">
        <f>_xlfn.XLOOKUP(C65,Mapping!$D$2:$D$54,Mapping!$E$2:$E$54)</f>
        <v>Vancouver</v>
      </c>
      <c r="F65">
        <f>_xlfn.XLOOKUP($C65,Mapping!$D$2:$D$54,Mapping!F$2:F$54)</f>
        <v>49.262500000000003</v>
      </c>
      <c r="G65">
        <f>_xlfn.XLOOKUP($C65,Mapping!$D$2:$D$54,Mapping!G$2:G$54)</f>
        <v>-123.0694</v>
      </c>
    </row>
    <row r="66" spans="1:7">
      <c r="A66">
        <v>2017</v>
      </c>
      <c r="B66" s="3" t="str">
        <f>_xlfn.XLOOKUP(C66,Mapping!$A$2:$A$54,Mapping!$B$2:$B$54)</f>
        <v>Millennium Line</v>
      </c>
      <c r="C66" t="s">
        <v>12</v>
      </c>
      <c r="D66">
        <v>1310390</v>
      </c>
      <c r="E66" t="str">
        <f>_xlfn.XLOOKUP(C66,Mapping!$D$2:$D$54,Mapping!$E$2:$E$54)</f>
        <v>Coquitlam</v>
      </c>
      <c r="F66">
        <f>_xlfn.XLOOKUP($C66,Mapping!$D$2:$D$54,Mapping!F$2:F$54)</f>
        <v>49.274000000000001</v>
      </c>
      <c r="G66">
        <f>_xlfn.XLOOKUP($C66,Mapping!$D$2:$D$54,Mapping!G$2:G$54)</f>
        <v>-122.7993</v>
      </c>
    </row>
    <row r="67" spans="1:7">
      <c r="A67">
        <v>2017</v>
      </c>
      <c r="B67" s="3" t="str">
        <f>_xlfn.XLOOKUP(C67,Mapping!$A$2:$A$54,Mapping!$B$2:$B$54)</f>
        <v>Expo Line</v>
      </c>
      <c r="C67" t="s">
        <v>13</v>
      </c>
      <c r="D67">
        <v>3676398</v>
      </c>
      <c r="E67" t="str">
        <f>_xlfn.XLOOKUP(C67,Mapping!$D$2:$D$54,Mapping!$E$2:$E$54)</f>
        <v>Burnaby</v>
      </c>
      <c r="F67">
        <f>_xlfn.XLOOKUP($C67,Mapping!$D$2:$D$54,Mapping!F$2:F$54)</f>
        <v>49.213799999999999</v>
      </c>
      <c r="G67">
        <f>_xlfn.XLOOKUP($C67,Mapping!$D$2:$D$54,Mapping!G$2:G$54)</f>
        <v>-122.9592</v>
      </c>
    </row>
    <row r="68" spans="1:7">
      <c r="A68">
        <v>2017</v>
      </c>
      <c r="B68" s="3" t="str">
        <f>_xlfn.XLOOKUP(C68,Mapping!$A$2:$A$54,Mapping!$B$2:$B$54)</f>
        <v>Expo Line</v>
      </c>
      <c r="C68" t="s">
        <v>14</v>
      </c>
      <c r="D68">
        <v>1684423</v>
      </c>
      <c r="E68" t="str">
        <f>_xlfn.XLOOKUP(C68,Mapping!$D$2:$D$54,Mapping!$E$2:$E$54)</f>
        <v>Surrey</v>
      </c>
      <c r="F68">
        <f>_xlfn.XLOOKUP($C68,Mapping!$D$2:$D$54,Mapping!F$2:F$54)</f>
        <v>49.198900000000002</v>
      </c>
      <c r="G68">
        <f>_xlfn.XLOOKUP($C68,Mapping!$D$2:$D$54,Mapping!G$2:G$54)</f>
        <v>-122.8507</v>
      </c>
    </row>
    <row r="69" spans="1:7">
      <c r="A69">
        <v>2017</v>
      </c>
      <c r="B69" s="3" t="str">
        <f>_xlfn.XLOOKUP(C69,Mapping!$A$2:$A$54,Mapping!$B$2:$B$54)</f>
        <v>Millennium Line</v>
      </c>
      <c r="C69" t="s">
        <v>15</v>
      </c>
      <c r="D69">
        <v>1135166</v>
      </c>
      <c r="E69" t="str">
        <f>_xlfn.XLOOKUP(C69,Mapping!$D$2:$D$54,Mapping!$E$2:$E$54)</f>
        <v>Burnaby</v>
      </c>
      <c r="F69">
        <f>_xlfn.XLOOKUP($C69,Mapping!$D$2:$D$54,Mapping!F$2:F$54)</f>
        <v>49.264899999999997</v>
      </c>
      <c r="G69">
        <f>_xlfn.XLOOKUP($C69,Mapping!$D$2:$D$54,Mapping!G$2:G$54)</f>
        <v>-123.01349999999999</v>
      </c>
    </row>
    <row r="70" spans="1:7">
      <c r="A70">
        <v>2017</v>
      </c>
      <c r="B70" s="3" t="str">
        <f>_xlfn.XLOOKUP(C70,Mapping!$A$2:$A$54,Mapping!$B$2:$B$54)</f>
        <v>Expo Line</v>
      </c>
      <c r="C70" t="s">
        <v>16</v>
      </c>
      <c r="D70">
        <v>6772096</v>
      </c>
      <c r="E70" t="str">
        <f>_xlfn.XLOOKUP(C70,Mapping!$D$2:$D$54,Mapping!$E$2:$E$54)</f>
        <v>Vancouver</v>
      </c>
      <c r="F70">
        <f>_xlfn.XLOOKUP($C70,Mapping!$D$2:$D$54,Mapping!F$2:F$54)</f>
        <v>49.283099999999997</v>
      </c>
      <c r="G70">
        <f>_xlfn.XLOOKUP($C70,Mapping!$D$2:$D$54,Mapping!G$2:G$54)</f>
        <v>-123.1161</v>
      </c>
    </row>
    <row r="71" spans="1:7">
      <c r="A71">
        <v>2017</v>
      </c>
      <c r="B71" s="3" t="str">
        <f>_xlfn.XLOOKUP(C71,Mapping!$A$2:$A$54,Mapping!$B$2:$B$54)</f>
        <v>Millennium Line</v>
      </c>
      <c r="C71" t="s">
        <v>17</v>
      </c>
      <c r="D71">
        <v>1004809</v>
      </c>
      <c r="E71" t="str">
        <f>_xlfn.XLOOKUP(C71,Mapping!$D$2:$D$54,Mapping!$E$2:$E$54)</f>
        <v>Burnaby</v>
      </c>
      <c r="F71">
        <f>_xlfn.XLOOKUP($C71,Mapping!$D$2:$D$54,Mapping!F$2:F$54)</f>
        <v>49.264699999999998</v>
      </c>
      <c r="G71">
        <f>_xlfn.XLOOKUP($C71,Mapping!$D$2:$D$54,Mapping!G$2:G$54)</f>
        <v>-122.98220000000001</v>
      </c>
    </row>
    <row r="72" spans="1:7">
      <c r="A72">
        <v>2017</v>
      </c>
      <c r="B72" s="3" t="str">
        <f>_xlfn.XLOOKUP(C72,Mapping!$A$2:$A$54,Mapping!$B$2:$B$54)</f>
        <v>Millennium Line</v>
      </c>
      <c r="C72" t="s">
        <v>18</v>
      </c>
      <c r="D72">
        <v>608362</v>
      </c>
      <c r="E72" t="str">
        <f>_xlfn.XLOOKUP(C72,Mapping!$D$2:$D$54,Mapping!$E$2:$E$54)</f>
        <v>Port Moody</v>
      </c>
      <c r="F72">
        <f>_xlfn.XLOOKUP($C72,Mapping!$D$2:$D$54,Mapping!F$2:F$54)</f>
        <v>49.277700000000003</v>
      </c>
      <c r="G72">
        <f>_xlfn.XLOOKUP($C72,Mapping!$D$2:$D$54,Mapping!G$2:G$54)</f>
        <v>-122.82859999999999</v>
      </c>
    </row>
    <row r="73" spans="1:7">
      <c r="A73">
        <v>2017</v>
      </c>
      <c r="B73" s="3" t="str">
        <f>_xlfn.XLOOKUP(C73,Mapping!$A$2:$A$54,Mapping!$B$2:$B$54)</f>
        <v>Expo Line</v>
      </c>
      <c r="C73" t="s">
        <v>45</v>
      </c>
      <c r="D73">
        <v>4651045</v>
      </c>
      <c r="E73" t="str">
        <f>_xlfn.XLOOKUP(C73,Mapping!$D$2:$D$54,Mapping!$E$2:$E$54)</f>
        <v>Vancouver</v>
      </c>
      <c r="F73">
        <f>_xlfn.XLOOKUP($C73,Mapping!$D$2:$D$54,Mapping!F$2:F$54)</f>
        <v>49.238399999999999</v>
      </c>
      <c r="G73">
        <f>_xlfn.XLOOKUP($C73,Mapping!$D$2:$D$54,Mapping!G$2:G$54)</f>
        <v>-123.0318</v>
      </c>
    </row>
    <row r="74" spans="1:7">
      <c r="A74">
        <v>2017</v>
      </c>
      <c r="B74" s="3" t="str">
        <f>_xlfn.XLOOKUP(C74,Mapping!$A$2:$A$54,Mapping!$B$2:$B$54)</f>
        <v>Canada Line</v>
      </c>
      <c r="C74" t="s">
        <v>19</v>
      </c>
      <c r="D74">
        <v>2103160</v>
      </c>
      <c r="E74" t="str">
        <f>_xlfn.XLOOKUP(C74,Mapping!$D$2:$D$54,Mapping!$E$2:$E$54)</f>
        <v>Vancouver</v>
      </c>
      <c r="F74">
        <f>_xlfn.XLOOKUP($C74,Mapping!$D$2:$D$54,Mapping!F$2:F$54)</f>
        <v>49.249200000000002</v>
      </c>
      <c r="G74">
        <f>_xlfn.XLOOKUP($C74,Mapping!$D$2:$D$54,Mapping!G$2:G$54)</f>
        <v>-123.11579999999999</v>
      </c>
    </row>
    <row r="75" spans="1:7">
      <c r="A75">
        <v>2017</v>
      </c>
      <c r="B75" s="3" t="str">
        <f>_xlfn.XLOOKUP(C75,Mapping!$A$2:$A$54,Mapping!$B$2:$B$54)</f>
        <v>Expo Line</v>
      </c>
      <c r="C75" t="s">
        <v>20</v>
      </c>
      <c r="D75">
        <v>4138477</v>
      </c>
      <c r="E75" t="str">
        <f>_xlfn.XLOOKUP(C75,Mapping!$D$2:$D$54,Mapping!$E$2:$E$54)</f>
        <v>Surrey</v>
      </c>
      <c r="F75">
        <f>_xlfn.XLOOKUP($C75,Mapping!$D$2:$D$54,Mapping!F$2:F$54)</f>
        <v>49.182699999999997</v>
      </c>
      <c r="G75">
        <f>_xlfn.XLOOKUP($C75,Mapping!$D$2:$D$54,Mapping!G$2:G$54)</f>
        <v>-122.8451</v>
      </c>
    </row>
    <row r="76" spans="1:7">
      <c r="A76">
        <v>2017</v>
      </c>
      <c r="B76" s="3" t="str">
        <f>_xlfn.XLOOKUP(C76,Mapping!$A$2:$A$54,Mapping!$B$2:$B$54)</f>
        <v>Millennium Line</v>
      </c>
      <c r="C76" t="s">
        <v>21</v>
      </c>
      <c r="D76">
        <v>833715</v>
      </c>
      <c r="E76" t="str">
        <f>_xlfn.XLOOKUP(C76,Mapping!$D$2:$D$54,Mapping!$E$2:$E$54)</f>
        <v>Coquitlam</v>
      </c>
      <c r="F76">
        <f>_xlfn.XLOOKUP($C76,Mapping!$D$2:$D$54,Mapping!F$2:F$54)</f>
        <v>49.284700000000001</v>
      </c>
      <c r="G76">
        <f>_xlfn.XLOOKUP($C76,Mapping!$D$2:$D$54,Mapping!G$2:G$54)</f>
        <v>-122.78360000000001</v>
      </c>
    </row>
    <row r="77" spans="1:7">
      <c r="A77">
        <v>2017</v>
      </c>
      <c r="B77" s="3" t="str">
        <f>_xlfn.XLOOKUP(C77,Mapping!$A$2:$A$54,Mapping!$B$2:$B$54)</f>
        <v>Millennium Line</v>
      </c>
      <c r="C77" t="s">
        <v>22</v>
      </c>
      <c r="D77">
        <v>373866</v>
      </c>
      <c r="E77" t="str">
        <f>_xlfn.XLOOKUP(C77,Mapping!$D$2:$D$54,Mapping!$E$2:$E$54)</f>
        <v>Burnaby</v>
      </c>
      <c r="F77">
        <f>_xlfn.XLOOKUP($C77,Mapping!$D$2:$D$54,Mapping!F$2:F$54)</f>
        <v>49.254600000000003</v>
      </c>
      <c r="G77">
        <f>_xlfn.XLOOKUP($C77,Mapping!$D$2:$D$54,Mapping!G$2:G$54)</f>
        <v>-122.93770000000001</v>
      </c>
    </row>
    <row r="78" spans="1:7">
      <c r="A78">
        <v>2017</v>
      </c>
      <c r="B78" s="3" t="str">
        <f>_xlfn.XLOOKUP(C78,Mapping!$A$2:$A$54,Mapping!$B$2:$B$54)</f>
        <v>Canada Line</v>
      </c>
      <c r="C78" t="s">
        <v>46</v>
      </c>
      <c r="D78">
        <v>2327470</v>
      </c>
      <c r="E78" t="str">
        <f>_xlfn.XLOOKUP(C78,Mapping!$D$2:$D$54,Mapping!$E$2:$E$54)</f>
        <v>Vancouver</v>
      </c>
      <c r="F78">
        <f>_xlfn.XLOOKUP($C78,Mapping!$D$2:$D$54,Mapping!F$2:F$54)</f>
        <v>49.226300000000002</v>
      </c>
      <c r="G78">
        <f>_xlfn.XLOOKUP($C78,Mapping!$D$2:$D$54,Mapping!G$2:G$54)</f>
        <v>-123.1161</v>
      </c>
    </row>
    <row r="79" spans="1:7">
      <c r="A79">
        <v>2017</v>
      </c>
      <c r="B79" s="3" t="str">
        <f>_xlfn.XLOOKUP(C79,Mapping!$A$2:$A$54,Mapping!$B$2:$B$54)</f>
        <v>Canada Line</v>
      </c>
      <c r="C79" t="s">
        <v>23</v>
      </c>
      <c r="D79">
        <v>1485454</v>
      </c>
      <c r="E79" t="str">
        <f>_xlfn.XLOOKUP(C79,Mapping!$D$2:$D$54,Mapping!$E$2:$E$54)</f>
        <v>Richmond</v>
      </c>
      <c r="F79">
        <f>_xlfn.XLOOKUP($C79,Mapping!$D$2:$D$54,Mapping!F$2:F$54)</f>
        <v>49.174700000000001</v>
      </c>
      <c r="G79">
        <f>_xlfn.XLOOKUP($C79,Mapping!$D$2:$D$54,Mapping!G$2:G$54)</f>
        <v>-123.1362</v>
      </c>
    </row>
    <row r="80" spans="1:7">
      <c r="A80">
        <v>2017</v>
      </c>
      <c r="B80" s="3" t="str">
        <f>_xlfn.XLOOKUP(C80,Mapping!$A$2:$A$54,Mapping!$B$2:$B$54)</f>
        <v>Millennium Line</v>
      </c>
      <c r="C80" t="s">
        <v>24</v>
      </c>
      <c r="D80">
        <v>1210946</v>
      </c>
      <c r="E80" t="str">
        <f>_xlfn.XLOOKUP(C80,Mapping!$D$2:$D$54,Mapping!$E$2:$E$54)</f>
        <v>Coquitlam</v>
      </c>
      <c r="F80">
        <f>_xlfn.XLOOKUP($C80,Mapping!$D$2:$D$54,Mapping!F$2:F$54)</f>
        <v>49.28</v>
      </c>
      <c r="G80">
        <f>_xlfn.XLOOKUP($C80,Mapping!$D$2:$D$54,Mapping!G$2:G$54)</f>
        <v>-122.7933</v>
      </c>
    </row>
    <row r="81" spans="1:7">
      <c r="A81">
        <v>2017</v>
      </c>
      <c r="B81" s="3" t="str">
        <f>_xlfn.XLOOKUP(C81,Mapping!$A$2:$A$54,Mapping!$B$2:$B$54)</f>
        <v>Expo / Millennium Line</v>
      </c>
      <c r="C81" t="s">
        <v>25</v>
      </c>
      <c r="D81">
        <v>4025306</v>
      </c>
      <c r="E81" t="str">
        <f>_xlfn.XLOOKUP(C81,Mapping!$D$2:$D$54,Mapping!$E$2:$E$54)</f>
        <v>Burnaby</v>
      </c>
      <c r="F81">
        <f>_xlfn.XLOOKUP($C81,Mapping!$D$2:$D$54,Mapping!F$2:F$54)</f>
        <v>49.2483</v>
      </c>
      <c r="G81">
        <f>_xlfn.XLOOKUP($C81,Mapping!$D$2:$D$54,Mapping!G$2:G$54)</f>
        <v>-122.89700000000001</v>
      </c>
    </row>
    <row r="82" spans="1:7">
      <c r="A82">
        <v>2017</v>
      </c>
      <c r="B82" s="3" t="str">
        <f>_xlfn.XLOOKUP(C82,Mapping!$A$2:$A$54,Mapping!$B$2:$B$54)</f>
        <v>Expo Line</v>
      </c>
      <c r="C82" t="s">
        <v>47</v>
      </c>
      <c r="D82">
        <v>4656284</v>
      </c>
      <c r="E82" t="str">
        <f>_xlfn.XLOOKUP(C82,Mapping!$D$2:$D$54,Mapping!$E$2:$E$54)</f>
        <v>Vancouver</v>
      </c>
      <c r="F82">
        <f>_xlfn.XLOOKUP($C82,Mapping!$D$2:$D$54,Mapping!F$2:F$54)</f>
        <v>49.273200000000003</v>
      </c>
      <c r="G82">
        <f>_xlfn.XLOOKUP($C82,Mapping!$D$2:$D$54,Mapping!G$2:G$54)</f>
        <v>-123.1003</v>
      </c>
    </row>
    <row r="83" spans="1:7">
      <c r="A83">
        <v>2017</v>
      </c>
      <c r="B83" s="3" t="str">
        <f>_xlfn.XLOOKUP(C83,Mapping!$A$2:$A$54,Mapping!$B$2:$B$54)</f>
        <v>Canada Line</v>
      </c>
      <c r="C83" t="s">
        <v>26</v>
      </c>
      <c r="D83">
        <v>3189244</v>
      </c>
      <c r="E83" t="str">
        <f>_xlfn.XLOOKUP(C83,Mapping!$D$2:$D$54,Mapping!$E$2:$E$54)</f>
        <v>Vancouver</v>
      </c>
      <c r="F83">
        <f>_xlfn.XLOOKUP($C83,Mapping!$D$2:$D$54,Mapping!F$2:F$54)</f>
        <v>49.209800000000001</v>
      </c>
      <c r="G83">
        <f>_xlfn.XLOOKUP($C83,Mapping!$D$2:$D$54,Mapping!G$2:G$54)</f>
        <v>-123.1174</v>
      </c>
    </row>
    <row r="84" spans="1:7">
      <c r="A84">
        <v>2017</v>
      </c>
      <c r="B84" s="3" t="str">
        <f>_xlfn.XLOOKUP(C84,Mapping!$A$2:$A$54,Mapping!$B$2:$B$54)</f>
        <v>Expo Line</v>
      </c>
      <c r="C84" t="s">
        <v>27</v>
      </c>
      <c r="D84">
        <v>6860086</v>
      </c>
      <c r="E84" t="str">
        <f>_xlfn.XLOOKUP(C84,Mapping!$D$2:$D$54,Mapping!$E$2:$E$54)</f>
        <v>Burnaby</v>
      </c>
      <c r="F84">
        <f>_xlfn.XLOOKUP($C84,Mapping!$D$2:$D$54,Mapping!F$2:F$54)</f>
        <v>49.225700000000003</v>
      </c>
      <c r="G84">
        <f>_xlfn.XLOOKUP($C84,Mapping!$D$2:$D$54,Mapping!G$2:G$54)</f>
        <v>-123.0039</v>
      </c>
    </row>
    <row r="85" spans="1:7">
      <c r="A85">
        <v>2017</v>
      </c>
      <c r="B85" s="3" t="str">
        <f>_xlfn.XLOOKUP(C85,Mapping!$A$2:$A$54,Mapping!$B$2:$B$54)</f>
        <v>Millennium Line</v>
      </c>
      <c r="C85" t="s">
        <v>28</v>
      </c>
      <c r="D85">
        <v>647531</v>
      </c>
      <c r="E85" t="str">
        <f>_xlfn.XLOOKUP(C85,Mapping!$D$2:$D$54,Mapping!$E$2:$E$54)</f>
        <v>Port Moody</v>
      </c>
      <c r="F85">
        <f>_xlfn.XLOOKUP($C85,Mapping!$D$2:$D$54,Mapping!F$2:F$54)</f>
        <v>49.278300000000002</v>
      </c>
      <c r="G85">
        <f>_xlfn.XLOOKUP($C85,Mapping!$D$2:$D$54,Mapping!G$2:G$54)</f>
        <v>-122.845</v>
      </c>
    </row>
    <row r="86" spans="1:7">
      <c r="A86">
        <v>2017</v>
      </c>
      <c r="B86" s="3" t="str">
        <f>_xlfn.XLOOKUP(C86,Mapping!$A$2:$A$54,Mapping!$B$2:$B$54)</f>
        <v>Expo Line</v>
      </c>
      <c r="C86" t="s">
        <v>29</v>
      </c>
      <c r="D86">
        <v>2212816</v>
      </c>
      <c r="E86" t="str">
        <f>_xlfn.XLOOKUP(C86,Mapping!$D$2:$D$54,Mapping!$E$2:$E$54)</f>
        <v>Vancouver</v>
      </c>
      <c r="F86">
        <f>_xlfn.XLOOKUP($C86,Mapping!$D$2:$D$54,Mapping!F$2:F$54)</f>
        <v>49.2483</v>
      </c>
      <c r="G86">
        <f>_xlfn.XLOOKUP($C86,Mapping!$D$2:$D$54,Mapping!G$2:G$54)</f>
        <v>-123.05589999999999</v>
      </c>
    </row>
    <row r="87" spans="1:7">
      <c r="A87">
        <v>2017</v>
      </c>
      <c r="B87" s="3" t="str">
        <f>_xlfn.XLOOKUP(C87,Mapping!$A$2:$A$54,Mapping!$B$2:$B$54)</f>
        <v>Expo Line</v>
      </c>
      <c r="C87" t="s">
        <v>30</v>
      </c>
      <c r="D87">
        <v>4679265</v>
      </c>
      <c r="E87" t="str">
        <f>_xlfn.XLOOKUP(C87,Mapping!$D$2:$D$54,Mapping!$E$2:$E$54)</f>
        <v>New Westminster</v>
      </c>
      <c r="F87">
        <f>_xlfn.XLOOKUP($C87,Mapping!$D$2:$D$54,Mapping!F$2:F$54)</f>
        <v>49.201500000000003</v>
      </c>
      <c r="G87">
        <f>_xlfn.XLOOKUP($C87,Mapping!$D$2:$D$54,Mapping!G$2:G$54)</f>
        <v>-122.9126</v>
      </c>
    </row>
    <row r="88" spans="1:7">
      <c r="A88">
        <v>2017</v>
      </c>
      <c r="B88" s="3" t="str">
        <f>_xlfn.XLOOKUP(C88,Mapping!$A$2:$A$54,Mapping!$B$2:$B$54)</f>
        <v>Canada Line</v>
      </c>
      <c r="C88" t="s">
        <v>48</v>
      </c>
      <c r="D88">
        <v>2851978</v>
      </c>
      <c r="E88" t="str">
        <f>_xlfn.XLOOKUP(C88,Mapping!$D$2:$D$54,Mapping!$E$2:$E$54)</f>
        <v>Vancouver</v>
      </c>
      <c r="F88">
        <f>_xlfn.XLOOKUP($C88,Mapping!$D$2:$D$54,Mapping!F$2:F$54)</f>
        <v>49.232999999999997</v>
      </c>
      <c r="G88">
        <f>_xlfn.XLOOKUP($C88,Mapping!$D$2:$D$54,Mapping!G$2:G$54)</f>
        <v>-123.1161</v>
      </c>
    </row>
    <row r="89" spans="1:7">
      <c r="A89">
        <v>2017</v>
      </c>
      <c r="B89" s="3" t="str">
        <f>_xlfn.XLOOKUP(C89,Mapping!$A$2:$A$54,Mapping!$B$2:$B$54)</f>
        <v>Canada Line</v>
      </c>
      <c r="C89" t="s">
        <v>31</v>
      </c>
      <c r="D89">
        <v>1628833</v>
      </c>
      <c r="E89" t="str">
        <f>_xlfn.XLOOKUP(C89,Mapping!$D$2:$D$54,Mapping!$E$2:$E$54)</f>
        <v>Vancouver</v>
      </c>
      <c r="F89">
        <f>_xlfn.XLOOKUP($C89,Mapping!$D$2:$D$54,Mapping!F$2:F$54)</f>
        <v>49.266500000000001</v>
      </c>
      <c r="G89">
        <f>_xlfn.XLOOKUP($C89,Mapping!$D$2:$D$54,Mapping!G$2:G$54)</f>
        <v>-123.1156</v>
      </c>
    </row>
    <row r="90" spans="1:7">
      <c r="A90">
        <v>2017</v>
      </c>
      <c r="B90" s="3" t="str">
        <f>_xlfn.XLOOKUP(C90,Mapping!$A$2:$A$54,Mapping!$B$2:$B$54)</f>
        <v>Expo Line</v>
      </c>
      <c r="C90" t="s">
        <v>32</v>
      </c>
      <c r="D90">
        <v>1710638</v>
      </c>
      <c r="E90" t="str">
        <f>_xlfn.XLOOKUP(C90,Mapping!$D$2:$D$54,Mapping!$E$2:$E$54)</f>
        <v>Burnaby</v>
      </c>
      <c r="F90">
        <f>_xlfn.XLOOKUP($C90,Mapping!$D$2:$D$54,Mapping!F$2:F$54)</f>
        <v>49.229700000000001</v>
      </c>
      <c r="G90">
        <f>_xlfn.XLOOKUP($C90,Mapping!$D$2:$D$54,Mapping!G$2:G$54)</f>
        <v>-123.01260000000001</v>
      </c>
    </row>
    <row r="91" spans="1:7">
      <c r="A91">
        <v>2017</v>
      </c>
      <c r="B91" s="3" t="str">
        <f>_xlfn.XLOOKUP(C91,Mapping!$A$2:$A$54,Mapping!$B$2:$B$54)</f>
        <v>Expo / Millennium Line</v>
      </c>
      <c r="C91" t="s">
        <v>49</v>
      </c>
      <c r="D91">
        <v>1788654</v>
      </c>
      <c r="E91" t="str">
        <f>_xlfn.XLOOKUP(C91,Mapping!$D$2:$D$54,Mapping!$E$2:$E$54)</f>
        <v>Burnaby</v>
      </c>
      <c r="F91">
        <f>_xlfn.XLOOKUP($C91,Mapping!$D$2:$D$54,Mapping!F$2:F$54)</f>
        <v>49.253300000000003</v>
      </c>
      <c r="G91">
        <f>_xlfn.XLOOKUP($C91,Mapping!$D$2:$D$54,Mapping!G$2:G$54)</f>
        <v>-122.91800000000001</v>
      </c>
    </row>
    <row r="92" spans="1:7">
      <c r="A92">
        <v>2017</v>
      </c>
      <c r="B92" s="3" t="str">
        <f>_xlfn.XLOOKUP(C92,Mapping!$A$2:$A$54,Mapping!$B$2:$B$54)</f>
        <v>Millennium Line</v>
      </c>
      <c r="C92" t="s">
        <v>33</v>
      </c>
      <c r="D92">
        <v>1233359</v>
      </c>
      <c r="E92" t="str">
        <f>_xlfn.XLOOKUP(C92,Mapping!$D$2:$D$54,Mapping!$E$2:$E$54)</f>
        <v>Vancouver</v>
      </c>
      <c r="F92">
        <f>_xlfn.XLOOKUP($C92,Mapping!$D$2:$D$54,Mapping!F$2:F$54)</f>
        <v>49.258800000000001</v>
      </c>
      <c r="G92">
        <f>_xlfn.XLOOKUP($C92,Mapping!$D$2:$D$54,Mapping!G$2:G$54)</f>
        <v>-123.0453</v>
      </c>
    </row>
    <row r="93" spans="1:7">
      <c r="A93">
        <v>2017</v>
      </c>
      <c r="B93" s="3" t="str">
        <f>_xlfn.XLOOKUP(C93,Mapping!$A$2:$A$54,Mapping!$B$2:$B$54)</f>
        <v>Canada Line</v>
      </c>
      <c r="C93" t="s">
        <v>50</v>
      </c>
      <c r="D93">
        <v>3820620</v>
      </c>
      <c r="E93" t="str">
        <f>_xlfn.XLOOKUP(C93,Mapping!$D$2:$D$54,Mapping!$E$2:$E$54)</f>
        <v>Richmond</v>
      </c>
      <c r="F93">
        <f>_xlfn.XLOOKUP($C93,Mapping!$D$2:$D$54,Mapping!F$2:F$54)</f>
        <v>49.168100000000003</v>
      </c>
      <c r="G93">
        <f>_xlfn.XLOOKUP($C93,Mapping!$D$2:$D$54,Mapping!G$2:G$54)</f>
        <v>-123.1362</v>
      </c>
    </row>
    <row r="94" spans="1:7">
      <c r="A94">
        <v>2017</v>
      </c>
      <c r="B94" s="3" t="str">
        <f>_xlfn.XLOOKUP(C94,Mapping!$A$2:$A$54,Mapping!$B$2:$B$54)</f>
        <v>Expo Line</v>
      </c>
      <c r="C94" t="s">
        <v>34</v>
      </c>
      <c r="D94">
        <v>1745573</v>
      </c>
      <c r="E94" t="str">
        <f>_xlfn.XLOOKUP(C94,Mapping!$D$2:$D$54,Mapping!$E$2:$E$54)</f>
        <v>Burnaby</v>
      </c>
      <c r="F94">
        <f>_xlfn.XLOOKUP($C94,Mapping!$D$2:$D$54,Mapping!F$2:F$54)</f>
        <v>49.220100000000002</v>
      </c>
      <c r="G94">
        <f>_xlfn.XLOOKUP($C94,Mapping!$D$2:$D$54,Mapping!G$2:G$54)</f>
        <v>-122.9884</v>
      </c>
    </row>
    <row r="95" spans="1:7">
      <c r="A95">
        <v>2017</v>
      </c>
      <c r="B95" s="3" t="str">
        <f>_xlfn.XLOOKUP(C95,Mapping!$A$2:$A$54,Mapping!$B$2:$B$54)</f>
        <v>Millennium Line</v>
      </c>
      <c r="C95" t="s">
        <v>35</v>
      </c>
      <c r="D95">
        <v>992113</v>
      </c>
      <c r="E95" t="str">
        <f>_xlfn.XLOOKUP(C95,Mapping!$D$2:$D$54,Mapping!$E$2:$E$54)</f>
        <v>Vancouver</v>
      </c>
      <c r="F95">
        <f>_xlfn.XLOOKUP($C95,Mapping!$D$2:$D$54,Mapping!F$2:F$54)</f>
        <v>49.258800000000001</v>
      </c>
      <c r="G95">
        <f>_xlfn.XLOOKUP($C95,Mapping!$D$2:$D$54,Mapping!G$2:G$54)</f>
        <v>-123.02670000000001</v>
      </c>
    </row>
    <row r="96" spans="1:7">
      <c r="A96">
        <v>2017</v>
      </c>
      <c r="B96" s="3" t="str">
        <f>_xlfn.XLOOKUP(C96,Mapping!$A$2:$A$54,Mapping!$B$2:$B$54)</f>
        <v>Expo Line</v>
      </c>
      <c r="C96" t="s">
        <v>36</v>
      </c>
      <c r="D96">
        <v>932656</v>
      </c>
      <c r="E96" t="str">
        <f>_xlfn.XLOOKUP(C96,Mapping!$D$2:$D$54,Mapping!$E$2:$E$54)</f>
        <v>New Westminster</v>
      </c>
      <c r="F96">
        <f>_xlfn.XLOOKUP($C96,Mapping!$D$2:$D$54,Mapping!F$2:F$54)</f>
        <v>49.2254</v>
      </c>
      <c r="G96">
        <f>_xlfn.XLOOKUP($C96,Mapping!$D$2:$D$54,Mapping!G$2:G$54)</f>
        <v>-122.88639999999999</v>
      </c>
    </row>
    <row r="97" spans="1:7">
      <c r="A97">
        <v>2017</v>
      </c>
      <c r="B97" s="3" t="str">
        <f>_xlfn.XLOOKUP(C97,Mapping!$A$2:$A$54,Mapping!$B$2:$B$54)</f>
        <v>Expo Line</v>
      </c>
      <c r="C97" t="s">
        <v>37</v>
      </c>
      <c r="D97">
        <v>2745541</v>
      </c>
      <c r="E97" t="str">
        <f>_xlfn.XLOOKUP(C97,Mapping!$D$2:$D$54,Mapping!$E$2:$E$54)</f>
        <v>Surrey</v>
      </c>
      <c r="F97">
        <f>_xlfn.XLOOKUP($C97,Mapping!$D$2:$D$54,Mapping!F$2:F$54)</f>
        <v>49.2044</v>
      </c>
      <c r="G97">
        <f>_xlfn.XLOOKUP($C97,Mapping!$D$2:$D$54,Mapping!G$2:G$54)</f>
        <v>-122.87430000000001</v>
      </c>
    </row>
    <row r="98" spans="1:7">
      <c r="A98">
        <v>2017</v>
      </c>
      <c r="B98" s="3" t="str">
        <f>_xlfn.XLOOKUP(C98,Mapping!$A$2:$A$54,Mapping!$B$2:$B$54)</f>
        <v>Canada Line</v>
      </c>
      <c r="C98" t="s">
        <v>38</v>
      </c>
      <c r="D98">
        <v>246751</v>
      </c>
      <c r="E98" t="str">
        <f>_xlfn.XLOOKUP(C98,Mapping!$D$2:$D$54,Mapping!$E$2:$E$54)</f>
        <v>Richmond</v>
      </c>
      <c r="F98">
        <f>_xlfn.XLOOKUP($C98,Mapping!$D$2:$D$54,Mapping!F$2:F$54)</f>
        <v>49.193100000000001</v>
      </c>
      <c r="G98">
        <f>_xlfn.XLOOKUP($C98,Mapping!$D$2:$D$54,Mapping!G$2:G$54)</f>
        <v>-123.1553</v>
      </c>
    </row>
    <row r="99" spans="1:7">
      <c r="A99">
        <v>2017</v>
      </c>
      <c r="B99" s="3" t="str">
        <f>_xlfn.XLOOKUP(C99,Mapping!$A$2:$A$54,Mapping!$B$2:$B$54)</f>
        <v>Millennium Line</v>
      </c>
      <c r="C99" t="s">
        <v>51</v>
      </c>
      <c r="D99">
        <v>653560</v>
      </c>
      <c r="E99" t="str">
        <f>_xlfn.XLOOKUP(C99,Mapping!$D$2:$D$54,Mapping!$E$2:$E$54)</f>
        <v>Burnaby</v>
      </c>
      <c r="F99">
        <f>_xlfn.XLOOKUP($C99,Mapping!$D$2:$D$54,Mapping!F$2:F$54)</f>
        <v>49.2592</v>
      </c>
      <c r="G99">
        <f>_xlfn.XLOOKUP($C99,Mapping!$D$2:$D$54,Mapping!G$2:G$54)</f>
        <v>-122.96420000000001</v>
      </c>
    </row>
    <row r="100" spans="1:7">
      <c r="A100">
        <v>2017</v>
      </c>
      <c r="B100" s="3" t="str">
        <f>_xlfn.XLOOKUP(C100,Mapping!$A$2:$A$54,Mapping!$B$2:$B$54)</f>
        <v>Expo Line</v>
      </c>
      <c r="C100" t="s">
        <v>52</v>
      </c>
      <c r="D100">
        <v>5388811</v>
      </c>
      <c r="E100" t="str">
        <f>_xlfn.XLOOKUP(C100,Mapping!$D$2:$D$54,Mapping!$E$2:$E$54)</f>
        <v>Vancouver</v>
      </c>
      <c r="F100">
        <f>_xlfn.XLOOKUP($C100,Mapping!$D$2:$D$54,Mapping!F$2:F$54)</f>
        <v>49.279600000000002</v>
      </c>
      <c r="G100">
        <f>_xlfn.XLOOKUP($C100,Mapping!$D$2:$D$54,Mapping!G$2:G$54)</f>
        <v>-123.10980000000001</v>
      </c>
    </row>
    <row r="101" spans="1:7">
      <c r="A101">
        <v>2017</v>
      </c>
      <c r="B101" s="3" t="str">
        <f>_xlfn.XLOOKUP(C101,Mapping!$A$2:$A$54,Mapping!$B$2:$B$54)</f>
        <v>Expo Line</v>
      </c>
      <c r="C101" t="s">
        <v>39</v>
      </c>
      <c r="D101">
        <v>3945051</v>
      </c>
      <c r="E101" t="str">
        <f>_xlfn.XLOOKUP(C101,Mapping!$D$2:$D$54,Mapping!$E$2:$E$54)</f>
        <v>Surrey</v>
      </c>
      <c r="F101">
        <f>_xlfn.XLOOKUP($C101,Mapping!$D$2:$D$54,Mapping!F$2:F$54)</f>
        <v>49.189599999999999</v>
      </c>
      <c r="G101">
        <f>_xlfn.XLOOKUP($C101,Mapping!$D$2:$D$54,Mapping!G$2:G$54)</f>
        <v>-122.8479</v>
      </c>
    </row>
    <row r="102" spans="1:7">
      <c r="A102">
        <v>2017</v>
      </c>
      <c r="B102" s="3" t="str">
        <f>_xlfn.XLOOKUP(C102,Mapping!$A$2:$A$54,Mapping!$B$2:$B$54)</f>
        <v>Canada Line</v>
      </c>
      <c r="C102" t="s">
        <v>40</v>
      </c>
      <c r="D102">
        <v>978843</v>
      </c>
      <c r="E102" t="str">
        <f>_xlfn.XLOOKUP(C102,Mapping!$D$2:$D$54,Mapping!$E$2:$E$54)</f>
        <v>Richmond</v>
      </c>
      <c r="F102">
        <f>_xlfn.XLOOKUP($C102,Mapping!$D$2:$D$54,Mapping!F$2:F$54)</f>
        <v>49.196300000000001</v>
      </c>
      <c r="G102">
        <f>_xlfn.XLOOKUP($C102,Mapping!$D$2:$D$54,Mapping!G$2:G$54)</f>
        <v>-123.1465</v>
      </c>
    </row>
    <row r="103" spans="1:7">
      <c r="A103">
        <v>2017</v>
      </c>
      <c r="B103" s="3" t="str">
        <f>_xlfn.XLOOKUP(C103,Mapping!$A$2:$A$54,Mapping!$B$2:$B$54)</f>
        <v>Canada Line</v>
      </c>
      <c r="C103" t="s">
        <v>41</v>
      </c>
      <c r="D103">
        <v>6081704</v>
      </c>
      <c r="E103" t="str">
        <f>_xlfn.XLOOKUP(C103,Mapping!$D$2:$D$54,Mapping!$E$2:$E$54)</f>
        <v>Vancouver</v>
      </c>
      <c r="F103">
        <f>_xlfn.XLOOKUP($C103,Mapping!$D$2:$D$54,Mapping!F$2:F$54)</f>
        <v>49.282499999999999</v>
      </c>
      <c r="G103">
        <f>_xlfn.XLOOKUP($C103,Mapping!$D$2:$D$54,Mapping!G$2:G$54)</f>
        <v>-123.1185</v>
      </c>
    </row>
    <row r="104" spans="1:7">
      <c r="A104">
        <v>2017</v>
      </c>
      <c r="B104" s="3" t="str">
        <f>_xlfn.XLOOKUP(C104,Mapping!$A$2:$A$54,Mapping!$B$2:$B$54)</f>
        <v>Millennium Line</v>
      </c>
      <c r="C104" t="s">
        <v>53</v>
      </c>
      <c r="D104">
        <v>965750</v>
      </c>
      <c r="E104" t="str">
        <f>_xlfn.XLOOKUP(C104,Mapping!$D$2:$D$54,Mapping!$E$2:$E$54)</f>
        <v>Vancouver</v>
      </c>
      <c r="F104">
        <f>_xlfn.XLOOKUP($C104,Mapping!$D$2:$D$54,Mapping!F$2:F$54)</f>
        <v>49.265799999999999</v>
      </c>
      <c r="G104">
        <f>_xlfn.XLOOKUP($C104,Mapping!$D$2:$D$54,Mapping!G$2:G$54)</f>
        <v>-123.0792</v>
      </c>
    </row>
    <row r="105" spans="1:7">
      <c r="A105">
        <v>2017</v>
      </c>
      <c r="B105" s="3" t="str">
        <f>_xlfn.XLOOKUP(C105,Mapping!$A$2:$A$54,Mapping!$B$2:$B$54)</f>
        <v>Expo / Canada Line</v>
      </c>
      <c r="C105" t="s">
        <v>42</v>
      </c>
      <c r="D105">
        <v>12077623</v>
      </c>
      <c r="E105" t="str">
        <f>_xlfn.XLOOKUP(C105,Mapping!$D$2:$D$54,Mapping!$E$2:$E$54)</f>
        <v>Vancouver</v>
      </c>
      <c r="F105">
        <f>_xlfn.XLOOKUP($C105,Mapping!$D$2:$D$54,Mapping!F$2:F$54)</f>
        <v>49.285899999999998</v>
      </c>
      <c r="G105">
        <f>_xlfn.XLOOKUP($C105,Mapping!$D$2:$D$54,Mapping!G$2:G$54)</f>
        <v>-123.1118</v>
      </c>
    </row>
    <row r="106" spans="1:7">
      <c r="A106">
        <v>2017</v>
      </c>
      <c r="B106" s="3" t="str">
        <f>_xlfn.XLOOKUP(C106,Mapping!$A$2:$A$54,Mapping!$B$2:$B$54)</f>
        <v>Canada Line</v>
      </c>
      <c r="C106" t="s">
        <v>54</v>
      </c>
      <c r="D106">
        <v>3449015</v>
      </c>
      <c r="E106" t="str">
        <f>_xlfn.XLOOKUP(C106,Mapping!$D$2:$D$54,Mapping!$E$2:$E$54)</f>
        <v>Vancouver</v>
      </c>
      <c r="F106">
        <f>_xlfn.XLOOKUP($C106,Mapping!$D$2:$D$54,Mapping!F$2:F$54)</f>
        <v>49.274500000000003</v>
      </c>
      <c r="G106">
        <f>_xlfn.XLOOKUP($C106,Mapping!$D$2:$D$54,Mapping!G$2:G$54)</f>
        <v>-123.1219</v>
      </c>
    </row>
    <row r="107" spans="1:7">
      <c r="A107">
        <v>2017</v>
      </c>
      <c r="B107" s="3" t="str">
        <f>_xlfn.XLOOKUP(C107,Mapping!$A$2:$A$54,Mapping!$B$2:$B$54)</f>
        <v>Canada Line</v>
      </c>
      <c r="C107" t="s">
        <v>55</v>
      </c>
      <c r="D107">
        <v>2636854</v>
      </c>
      <c r="E107" t="str">
        <f>_xlfn.XLOOKUP(C107,Mapping!$D$2:$D$54,Mapping!$E$2:$E$54)</f>
        <v>Richmond</v>
      </c>
      <c r="F107">
        <f>_xlfn.XLOOKUP($C107,Mapping!$D$2:$D$54,Mapping!F$2:F$54)</f>
        <v>49.193899999999999</v>
      </c>
      <c r="G107">
        <f>_xlfn.XLOOKUP($C107,Mapping!$D$2:$D$54,Mapping!G$2:G$54)</f>
        <v>-123.1765</v>
      </c>
    </row>
    <row r="108" spans="1:7">
      <c r="A108">
        <v>2018</v>
      </c>
      <c r="B108" s="3" t="str">
        <f>_xlfn.XLOOKUP(C108,Mapping!$A$2:$A$54,Mapping!$B$2:$B$54)</f>
        <v>Expo Line</v>
      </c>
      <c r="C108" t="s">
        <v>3</v>
      </c>
      <c r="D108">
        <v>3301233</v>
      </c>
      <c r="E108" t="str">
        <f>_xlfn.XLOOKUP(C108,Mapping!$D$2:$D$54,Mapping!$E$2:$E$54)</f>
        <v>New Westminster</v>
      </c>
      <c r="F108">
        <f>_xlfn.XLOOKUP($C108,Mapping!$D$2:$D$54,Mapping!F$2:F$54)</f>
        <v>49.2</v>
      </c>
      <c r="G108">
        <f>_xlfn.XLOOKUP($C108,Mapping!$D$2:$D$54,Mapping!G$2:G$54)</f>
        <v>-122.949</v>
      </c>
    </row>
    <row r="109" spans="1:7">
      <c r="A109">
        <v>2018</v>
      </c>
      <c r="B109" s="3" t="str">
        <f>_xlfn.XLOOKUP(C109,Mapping!$A$2:$A$54,Mapping!$B$2:$B$54)</f>
        <v>Expo Line</v>
      </c>
      <c r="C109" t="s">
        <v>4</v>
      </c>
      <c r="D109">
        <v>2444096</v>
      </c>
      <c r="E109" t="str">
        <f>_xlfn.XLOOKUP(C109,Mapping!$D$2:$D$54,Mapping!$E$2:$E$54)</f>
        <v>Vancouver</v>
      </c>
      <c r="F109">
        <f>_xlfn.XLOOKUP($C109,Mapping!$D$2:$D$54,Mapping!F$2:F$54)</f>
        <v>49.244300000000003</v>
      </c>
      <c r="G109">
        <f>_xlfn.XLOOKUP($C109,Mapping!$D$2:$D$54,Mapping!G$2:G$54)</f>
        <v>-123.045</v>
      </c>
    </row>
    <row r="110" spans="1:7">
      <c r="A110">
        <v>2018</v>
      </c>
      <c r="B110" s="3" t="str">
        <f>_xlfn.XLOOKUP(C110,Mapping!$A$2:$A$54,Mapping!$B$2:$B$54)</f>
        <v>Canada Line</v>
      </c>
      <c r="C110" t="s">
        <v>5</v>
      </c>
      <c r="D110">
        <v>1581335</v>
      </c>
      <c r="E110" t="str">
        <f>_xlfn.XLOOKUP(C110,Mapping!$D$2:$D$54,Mapping!$E$2:$E$54)</f>
        <v>Richmond</v>
      </c>
      <c r="F110">
        <f>_xlfn.XLOOKUP($C110,Mapping!$D$2:$D$54,Mapping!F$2:F$54)</f>
        <v>49.1843</v>
      </c>
      <c r="G110">
        <f>_xlfn.XLOOKUP($C110,Mapping!$D$2:$D$54,Mapping!G$2:G$54)</f>
        <v>-123.1362</v>
      </c>
    </row>
    <row r="111" spans="1:7">
      <c r="A111">
        <v>2018</v>
      </c>
      <c r="B111" s="3" t="str">
        <f>_xlfn.XLOOKUP(C111,Mapping!$A$2:$A$54,Mapping!$B$2:$B$54)</f>
        <v>Expo Line</v>
      </c>
      <c r="C111" t="s">
        <v>6</v>
      </c>
      <c r="D111">
        <v>1275628</v>
      </c>
      <c r="E111" t="str">
        <f>_xlfn.XLOOKUP(C111,Mapping!$D$2:$D$54,Mapping!$E$2:$E$54)</f>
        <v>New Westminster</v>
      </c>
      <c r="F111">
        <f>_xlfn.XLOOKUP($C111,Mapping!$D$2:$D$54,Mapping!F$2:F$54)</f>
        <v>49.232999999999997</v>
      </c>
      <c r="G111">
        <f>_xlfn.XLOOKUP($C111,Mapping!$D$2:$D$54,Mapping!G$2:G$54)</f>
        <v>-122.8828</v>
      </c>
    </row>
    <row r="112" spans="1:7">
      <c r="A112">
        <v>2018</v>
      </c>
      <c r="B112" s="3" t="str">
        <f>_xlfn.XLOOKUP(C112,Mapping!$A$2:$A$54,Mapping!$B$2:$B$54)</f>
        <v>Millennium Line</v>
      </c>
      <c r="C112" t="s">
        <v>7</v>
      </c>
      <c r="D112">
        <v>1698566</v>
      </c>
      <c r="E112" t="str">
        <f>_xlfn.XLOOKUP(C112,Mapping!$D$2:$D$54,Mapping!$E$2:$E$54)</f>
        <v>Burnaby</v>
      </c>
      <c r="F112">
        <f>_xlfn.XLOOKUP($C112,Mapping!$D$2:$D$54,Mapping!F$2:F$54)</f>
        <v>49.266199999999998</v>
      </c>
      <c r="G112">
        <f>_xlfn.XLOOKUP($C112,Mapping!$D$2:$D$54,Mapping!G$2:G$54)</f>
        <v>-123.0016</v>
      </c>
    </row>
    <row r="113" spans="1:7">
      <c r="A113">
        <v>2018</v>
      </c>
      <c r="B113" s="3" t="str">
        <f>_xlfn.XLOOKUP(C113,Mapping!$A$2:$A$54,Mapping!$B$2:$B$54)</f>
        <v>Canada Line</v>
      </c>
      <c r="C113" t="s">
        <v>8</v>
      </c>
      <c r="D113">
        <v>3851841</v>
      </c>
      <c r="E113" t="str">
        <f>_xlfn.XLOOKUP(C113,Mapping!$D$2:$D$54,Mapping!$E$2:$E$54)</f>
        <v>Richmond</v>
      </c>
      <c r="F113">
        <f>_xlfn.XLOOKUP($C113,Mapping!$D$2:$D$54,Mapping!F$2:F$54)</f>
        <v>49.192500000000003</v>
      </c>
      <c r="G113">
        <f>_xlfn.XLOOKUP($C113,Mapping!$D$2:$D$54,Mapping!G$2:G$54)</f>
        <v>-123.1264</v>
      </c>
    </row>
    <row r="114" spans="1:7">
      <c r="A114">
        <v>2018</v>
      </c>
      <c r="B114" s="3" t="str">
        <f>_xlfn.XLOOKUP(C114,Mapping!$A$2:$A$54,Mapping!$B$2:$B$54)</f>
        <v>Canada Line</v>
      </c>
      <c r="C114" t="s">
        <v>43</v>
      </c>
      <c r="D114">
        <v>4695886</v>
      </c>
      <c r="E114" t="str">
        <f>_xlfn.XLOOKUP(C114,Mapping!$D$2:$D$54,Mapping!$E$2:$E$54)</f>
        <v>Vancouver</v>
      </c>
      <c r="F114">
        <f>_xlfn.XLOOKUP($C114,Mapping!$D$2:$D$54,Mapping!F$2:F$54)</f>
        <v>49.263100000000001</v>
      </c>
      <c r="G114">
        <f>_xlfn.XLOOKUP($C114,Mapping!$D$2:$D$54,Mapping!G$2:G$54)</f>
        <v>-123.1147</v>
      </c>
    </row>
    <row r="115" spans="1:7">
      <c r="A115">
        <v>2018</v>
      </c>
      <c r="B115" s="3" t="str">
        <f>_xlfn.XLOOKUP(C115,Mapping!$A$2:$A$54,Mapping!$B$2:$B$54)</f>
        <v>Millennium Line</v>
      </c>
      <c r="C115" t="s">
        <v>9</v>
      </c>
      <c r="D115">
        <v>1375297</v>
      </c>
      <c r="E115" t="str">
        <f>_xlfn.XLOOKUP(C115,Mapping!$D$2:$D$54,Mapping!$E$2:$E$54)</f>
        <v>Coquitlam</v>
      </c>
      <c r="F115">
        <f>_xlfn.XLOOKUP($C115,Mapping!$D$2:$D$54,Mapping!F$2:F$54)</f>
        <v>49.261800000000001</v>
      </c>
      <c r="G115">
        <f>_xlfn.XLOOKUP($C115,Mapping!$D$2:$D$54,Mapping!G$2:G$54)</f>
        <v>-122.88979999999999</v>
      </c>
    </row>
    <row r="116" spans="1:7">
      <c r="A116">
        <v>2018</v>
      </c>
      <c r="B116" s="3" t="str">
        <f>_xlfn.XLOOKUP(C116,Mapping!$A$2:$A$54,Mapping!$B$2:$B$54)</f>
        <v>Expo Line</v>
      </c>
      <c r="C116" t="s">
        <v>10</v>
      </c>
      <c r="D116">
        <v>7333244</v>
      </c>
      <c r="E116" t="str">
        <f>_xlfn.XLOOKUP(C116,Mapping!$D$2:$D$54,Mapping!$E$2:$E$54)</f>
        <v>Vancouver</v>
      </c>
      <c r="F116">
        <f>_xlfn.XLOOKUP($C116,Mapping!$D$2:$D$54,Mapping!F$2:F$54)</f>
        <v>49.285600000000002</v>
      </c>
      <c r="G116">
        <f>_xlfn.XLOOKUP($C116,Mapping!$D$2:$D$54,Mapping!G$2:G$54)</f>
        <v>-123.1202</v>
      </c>
    </row>
    <row r="117" spans="1:7">
      <c r="A117">
        <v>2018</v>
      </c>
      <c r="B117" s="3" t="str">
        <f>_xlfn.XLOOKUP(C117,Mapping!$A$2:$A$54,Mapping!$B$2:$B$54)</f>
        <v>Expo Line</v>
      </c>
      <c r="C117" t="s">
        <v>11</v>
      </c>
      <c r="D117">
        <v>1599108</v>
      </c>
      <c r="E117" t="str">
        <f>_xlfn.XLOOKUP(C117,Mapping!$D$2:$D$54,Mapping!$E$2:$E$54)</f>
        <v>New Westminster</v>
      </c>
      <c r="F117">
        <f>_xlfn.XLOOKUP($C117,Mapping!$D$2:$D$54,Mapping!F$2:F$54)</f>
        <v>49.204799999999999</v>
      </c>
      <c r="G117">
        <f>_xlfn.XLOOKUP($C117,Mapping!$D$2:$D$54,Mapping!G$2:G$54)</f>
        <v>-122.9061</v>
      </c>
    </row>
    <row r="118" spans="1:7">
      <c r="A118">
        <v>2018</v>
      </c>
      <c r="B118" s="3" t="str">
        <f>_xlfn.XLOOKUP(C118,Mapping!$A$2:$A$54,Mapping!$B$2:$B$54)</f>
        <v>Expo / Millennium Line</v>
      </c>
      <c r="C118" t="s">
        <v>44</v>
      </c>
      <c r="D118">
        <v>8141240</v>
      </c>
      <c r="E118" t="str">
        <f>_xlfn.XLOOKUP(C118,Mapping!$D$2:$D$54,Mapping!$E$2:$E$54)</f>
        <v>Vancouver</v>
      </c>
      <c r="F118">
        <f>_xlfn.XLOOKUP($C118,Mapping!$D$2:$D$54,Mapping!F$2:F$54)</f>
        <v>49.262500000000003</v>
      </c>
      <c r="G118">
        <f>_xlfn.XLOOKUP($C118,Mapping!$D$2:$D$54,Mapping!G$2:G$54)</f>
        <v>-123.0694</v>
      </c>
    </row>
    <row r="119" spans="1:7">
      <c r="A119">
        <v>2018</v>
      </c>
      <c r="B119" s="3" t="str">
        <f>_xlfn.XLOOKUP(C119,Mapping!$A$2:$A$54,Mapping!$B$2:$B$54)</f>
        <v>Millennium Line</v>
      </c>
      <c r="C119" t="s">
        <v>12</v>
      </c>
      <c r="D119">
        <v>1456735</v>
      </c>
      <c r="E119" t="str">
        <f>_xlfn.XLOOKUP(C119,Mapping!$D$2:$D$54,Mapping!$E$2:$E$54)</f>
        <v>Coquitlam</v>
      </c>
      <c r="F119">
        <f>_xlfn.XLOOKUP($C119,Mapping!$D$2:$D$54,Mapping!F$2:F$54)</f>
        <v>49.274000000000001</v>
      </c>
      <c r="G119">
        <f>_xlfn.XLOOKUP($C119,Mapping!$D$2:$D$54,Mapping!G$2:G$54)</f>
        <v>-122.7993</v>
      </c>
    </row>
    <row r="120" spans="1:7">
      <c r="A120">
        <v>2018</v>
      </c>
      <c r="B120" s="3" t="str">
        <f>_xlfn.XLOOKUP(C120,Mapping!$A$2:$A$54,Mapping!$B$2:$B$54)</f>
        <v>Expo Line</v>
      </c>
      <c r="C120" t="s">
        <v>13</v>
      </c>
      <c r="D120">
        <v>3851434</v>
      </c>
      <c r="E120" t="str">
        <f>_xlfn.XLOOKUP(C120,Mapping!$D$2:$D$54,Mapping!$E$2:$E$54)</f>
        <v>Burnaby</v>
      </c>
      <c r="F120">
        <f>_xlfn.XLOOKUP($C120,Mapping!$D$2:$D$54,Mapping!F$2:F$54)</f>
        <v>49.213799999999999</v>
      </c>
      <c r="G120">
        <f>_xlfn.XLOOKUP($C120,Mapping!$D$2:$D$54,Mapping!G$2:G$54)</f>
        <v>-122.9592</v>
      </c>
    </row>
    <row r="121" spans="1:7">
      <c r="A121">
        <v>2018</v>
      </c>
      <c r="B121" s="3" t="str">
        <f>_xlfn.XLOOKUP(C121,Mapping!$A$2:$A$54,Mapping!$B$2:$B$54)</f>
        <v>Expo Line</v>
      </c>
      <c r="C121" t="s">
        <v>14</v>
      </c>
      <c r="D121">
        <v>1820264</v>
      </c>
      <c r="E121" t="str">
        <f>_xlfn.XLOOKUP(C121,Mapping!$D$2:$D$54,Mapping!$E$2:$E$54)</f>
        <v>Surrey</v>
      </c>
      <c r="F121">
        <f>_xlfn.XLOOKUP($C121,Mapping!$D$2:$D$54,Mapping!F$2:F$54)</f>
        <v>49.198900000000002</v>
      </c>
      <c r="G121">
        <f>_xlfn.XLOOKUP($C121,Mapping!$D$2:$D$54,Mapping!G$2:G$54)</f>
        <v>-122.8507</v>
      </c>
    </row>
    <row r="122" spans="1:7">
      <c r="A122">
        <v>2018</v>
      </c>
      <c r="B122" s="3" t="str">
        <f>_xlfn.XLOOKUP(C122,Mapping!$A$2:$A$54,Mapping!$B$2:$B$54)</f>
        <v>Millennium Line</v>
      </c>
      <c r="C122" t="s">
        <v>15</v>
      </c>
      <c r="D122">
        <v>1195560</v>
      </c>
      <c r="E122" t="str">
        <f>_xlfn.XLOOKUP(C122,Mapping!$D$2:$D$54,Mapping!$E$2:$E$54)</f>
        <v>Burnaby</v>
      </c>
      <c r="F122">
        <f>_xlfn.XLOOKUP($C122,Mapping!$D$2:$D$54,Mapping!F$2:F$54)</f>
        <v>49.264899999999997</v>
      </c>
      <c r="G122">
        <f>_xlfn.XLOOKUP($C122,Mapping!$D$2:$D$54,Mapping!G$2:G$54)</f>
        <v>-123.01349999999999</v>
      </c>
    </row>
    <row r="123" spans="1:7">
      <c r="A123">
        <v>2018</v>
      </c>
      <c r="B123" s="3" t="str">
        <f>_xlfn.XLOOKUP(C123,Mapping!$A$2:$A$54,Mapping!$B$2:$B$54)</f>
        <v>Expo Line</v>
      </c>
      <c r="C123" t="s">
        <v>16</v>
      </c>
      <c r="D123">
        <v>6820984</v>
      </c>
      <c r="E123" t="str">
        <f>_xlfn.XLOOKUP(C123,Mapping!$D$2:$D$54,Mapping!$E$2:$E$54)</f>
        <v>Vancouver</v>
      </c>
      <c r="F123">
        <f>_xlfn.XLOOKUP($C123,Mapping!$D$2:$D$54,Mapping!F$2:F$54)</f>
        <v>49.283099999999997</v>
      </c>
      <c r="G123">
        <f>_xlfn.XLOOKUP($C123,Mapping!$D$2:$D$54,Mapping!G$2:G$54)</f>
        <v>-123.1161</v>
      </c>
    </row>
    <row r="124" spans="1:7">
      <c r="A124">
        <v>2018</v>
      </c>
      <c r="B124" s="3" t="str">
        <f>_xlfn.XLOOKUP(C124,Mapping!$A$2:$A$54,Mapping!$B$2:$B$54)</f>
        <v>Millennium Line</v>
      </c>
      <c r="C124" t="s">
        <v>17</v>
      </c>
      <c r="D124">
        <v>1034255</v>
      </c>
      <c r="E124" t="str">
        <f>_xlfn.XLOOKUP(C124,Mapping!$D$2:$D$54,Mapping!$E$2:$E$54)</f>
        <v>Burnaby</v>
      </c>
      <c r="F124">
        <f>_xlfn.XLOOKUP($C124,Mapping!$D$2:$D$54,Mapping!F$2:F$54)</f>
        <v>49.264699999999998</v>
      </c>
      <c r="G124">
        <f>_xlfn.XLOOKUP($C124,Mapping!$D$2:$D$54,Mapping!G$2:G$54)</f>
        <v>-122.98220000000001</v>
      </c>
    </row>
    <row r="125" spans="1:7">
      <c r="A125">
        <v>2018</v>
      </c>
      <c r="B125" s="3" t="str">
        <f>_xlfn.XLOOKUP(C125,Mapping!$A$2:$A$54,Mapping!$B$2:$B$54)</f>
        <v>Millennium Line</v>
      </c>
      <c r="C125" t="s">
        <v>18</v>
      </c>
      <c r="D125">
        <v>656291</v>
      </c>
      <c r="E125" t="str">
        <f>_xlfn.XLOOKUP(C125,Mapping!$D$2:$D$54,Mapping!$E$2:$E$54)</f>
        <v>Port Moody</v>
      </c>
      <c r="F125">
        <f>_xlfn.XLOOKUP($C125,Mapping!$D$2:$D$54,Mapping!F$2:F$54)</f>
        <v>49.277700000000003</v>
      </c>
      <c r="G125">
        <f>_xlfn.XLOOKUP($C125,Mapping!$D$2:$D$54,Mapping!G$2:G$54)</f>
        <v>-122.82859999999999</v>
      </c>
    </row>
    <row r="126" spans="1:7">
      <c r="A126">
        <v>2018</v>
      </c>
      <c r="B126" s="3" t="str">
        <f>_xlfn.XLOOKUP(C126,Mapping!$A$2:$A$54,Mapping!$B$2:$B$54)</f>
        <v>Expo Line</v>
      </c>
      <c r="C126" t="s">
        <v>45</v>
      </c>
      <c r="D126">
        <v>4899991</v>
      </c>
      <c r="E126" t="str">
        <f>_xlfn.XLOOKUP(C126,Mapping!$D$2:$D$54,Mapping!$E$2:$E$54)</f>
        <v>Vancouver</v>
      </c>
      <c r="F126">
        <f>_xlfn.XLOOKUP($C126,Mapping!$D$2:$D$54,Mapping!F$2:F$54)</f>
        <v>49.238399999999999</v>
      </c>
      <c r="G126">
        <f>_xlfn.XLOOKUP($C126,Mapping!$D$2:$D$54,Mapping!G$2:G$54)</f>
        <v>-123.0318</v>
      </c>
    </row>
    <row r="127" spans="1:7">
      <c r="A127">
        <v>2018</v>
      </c>
      <c r="B127" s="3" t="str">
        <f>_xlfn.XLOOKUP(C127,Mapping!$A$2:$A$54,Mapping!$B$2:$B$54)</f>
        <v>Canada Line</v>
      </c>
      <c r="C127" t="s">
        <v>19</v>
      </c>
      <c r="D127">
        <v>2220659</v>
      </c>
      <c r="E127" t="str">
        <f>_xlfn.XLOOKUP(C127,Mapping!$D$2:$D$54,Mapping!$E$2:$E$54)</f>
        <v>Vancouver</v>
      </c>
      <c r="F127">
        <f>_xlfn.XLOOKUP($C127,Mapping!$D$2:$D$54,Mapping!F$2:F$54)</f>
        <v>49.249200000000002</v>
      </c>
      <c r="G127">
        <f>_xlfn.XLOOKUP($C127,Mapping!$D$2:$D$54,Mapping!G$2:G$54)</f>
        <v>-123.11579999999999</v>
      </c>
    </row>
    <row r="128" spans="1:7">
      <c r="A128">
        <v>2018</v>
      </c>
      <c r="B128" s="3" t="str">
        <f>_xlfn.XLOOKUP(C128,Mapping!$A$2:$A$54,Mapping!$B$2:$B$54)</f>
        <v>Expo Line</v>
      </c>
      <c r="C128" t="s">
        <v>20</v>
      </c>
      <c r="D128">
        <v>4447647</v>
      </c>
      <c r="E128" t="str">
        <f>_xlfn.XLOOKUP(C128,Mapping!$D$2:$D$54,Mapping!$E$2:$E$54)</f>
        <v>Surrey</v>
      </c>
      <c r="F128">
        <f>_xlfn.XLOOKUP($C128,Mapping!$D$2:$D$54,Mapping!F$2:F$54)</f>
        <v>49.182699999999997</v>
      </c>
      <c r="G128">
        <f>_xlfn.XLOOKUP($C128,Mapping!$D$2:$D$54,Mapping!G$2:G$54)</f>
        <v>-122.8451</v>
      </c>
    </row>
    <row r="129" spans="1:7">
      <c r="A129">
        <v>2018</v>
      </c>
      <c r="B129" s="3" t="str">
        <f>_xlfn.XLOOKUP(C129,Mapping!$A$2:$A$54,Mapping!$B$2:$B$54)</f>
        <v>Millennium Line</v>
      </c>
      <c r="C129" t="s">
        <v>21</v>
      </c>
      <c r="D129">
        <v>896911</v>
      </c>
      <c r="E129" t="str">
        <f>_xlfn.XLOOKUP(C129,Mapping!$D$2:$D$54,Mapping!$E$2:$E$54)</f>
        <v>Coquitlam</v>
      </c>
      <c r="F129">
        <f>_xlfn.XLOOKUP($C129,Mapping!$D$2:$D$54,Mapping!F$2:F$54)</f>
        <v>49.284700000000001</v>
      </c>
      <c r="G129">
        <f>_xlfn.XLOOKUP($C129,Mapping!$D$2:$D$54,Mapping!G$2:G$54)</f>
        <v>-122.78360000000001</v>
      </c>
    </row>
    <row r="130" spans="1:7">
      <c r="A130">
        <v>2018</v>
      </c>
      <c r="B130" s="3" t="str">
        <f>_xlfn.XLOOKUP(C130,Mapping!$A$2:$A$54,Mapping!$B$2:$B$54)</f>
        <v>Millennium Line</v>
      </c>
      <c r="C130" t="s">
        <v>22</v>
      </c>
      <c r="D130">
        <v>377859</v>
      </c>
      <c r="E130" t="str">
        <f>_xlfn.XLOOKUP(C130,Mapping!$D$2:$D$54,Mapping!$E$2:$E$54)</f>
        <v>Burnaby</v>
      </c>
      <c r="F130">
        <f>_xlfn.XLOOKUP($C130,Mapping!$D$2:$D$54,Mapping!F$2:F$54)</f>
        <v>49.254600000000003</v>
      </c>
      <c r="G130">
        <f>_xlfn.XLOOKUP($C130,Mapping!$D$2:$D$54,Mapping!G$2:G$54)</f>
        <v>-122.93770000000001</v>
      </c>
    </row>
    <row r="131" spans="1:7">
      <c r="A131">
        <v>2018</v>
      </c>
      <c r="B131" s="3" t="str">
        <f>_xlfn.XLOOKUP(C131,Mapping!$A$2:$A$54,Mapping!$B$2:$B$54)</f>
        <v>Canada Line</v>
      </c>
      <c r="C131" t="s">
        <v>46</v>
      </c>
      <c r="D131">
        <v>2555178</v>
      </c>
      <c r="E131" t="str">
        <f>_xlfn.XLOOKUP(C131,Mapping!$D$2:$D$54,Mapping!$E$2:$E$54)</f>
        <v>Vancouver</v>
      </c>
      <c r="F131">
        <f>_xlfn.XLOOKUP($C131,Mapping!$D$2:$D$54,Mapping!F$2:F$54)</f>
        <v>49.226300000000002</v>
      </c>
      <c r="G131">
        <f>_xlfn.XLOOKUP($C131,Mapping!$D$2:$D$54,Mapping!G$2:G$54)</f>
        <v>-123.1161</v>
      </c>
    </row>
    <row r="132" spans="1:7">
      <c r="A132">
        <v>2018</v>
      </c>
      <c r="B132" s="3" t="str">
        <f>_xlfn.XLOOKUP(C132,Mapping!$A$2:$A$54,Mapping!$B$2:$B$54)</f>
        <v>Canada Line</v>
      </c>
      <c r="C132" t="s">
        <v>23</v>
      </c>
      <c r="D132">
        <v>1578041</v>
      </c>
      <c r="E132" t="str">
        <f>_xlfn.XLOOKUP(C132,Mapping!$D$2:$D$54,Mapping!$E$2:$E$54)</f>
        <v>Richmond</v>
      </c>
      <c r="F132">
        <f>_xlfn.XLOOKUP($C132,Mapping!$D$2:$D$54,Mapping!F$2:F$54)</f>
        <v>49.174700000000001</v>
      </c>
      <c r="G132">
        <f>_xlfn.XLOOKUP($C132,Mapping!$D$2:$D$54,Mapping!G$2:G$54)</f>
        <v>-123.1362</v>
      </c>
    </row>
    <row r="133" spans="1:7">
      <c r="A133">
        <v>2018</v>
      </c>
      <c r="B133" s="3" t="str">
        <f>_xlfn.XLOOKUP(C133,Mapping!$A$2:$A$54,Mapping!$B$2:$B$54)</f>
        <v>Millennium Line</v>
      </c>
      <c r="C133" t="s">
        <v>24</v>
      </c>
      <c r="D133">
        <v>1325188</v>
      </c>
      <c r="E133" t="str">
        <f>_xlfn.XLOOKUP(C133,Mapping!$D$2:$D$54,Mapping!$E$2:$E$54)</f>
        <v>Coquitlam</v>
      </c>
      <c r="F133">
        <f>_xlfn.XLOOKUP($C133,Mapping!$D$2:$D$54,Mapping!F$2:F$54)</f>
        <v>49.28</v>
      </c>
      <c r="G133">
        <f>_xlfn.XLOOKUP($C133,Mapping!$D$2:$D$54,Mapping!G$2:G$54)</f>
        <v>-122.7933</v>
      </c>
    </row>
    <row r="134" spans="1:7">
      <c r="A134">
        <v>2018</v>
      </c>
      <c r="B134" s="3" t="str">
        <f>_xlfn.XLOOKUP(C134,Mapping!$A$2:$A$54,Mapping!$B$2:$B$54)</f>
        <v>Expo / Millennium Line</v>
      </c>
      <c r="C134" t="s">
        <v>25</v>
      </c>
      <c r="D134">
        <v>4087371</v>
      </c>
      <c r="E134" t="str">
        <f>_xlfn.XLOOKUP(C134,Mapping!$D$2:$D$54,Mapping!$E$2:$E$54)</f>
        <v>Burnaby</v>
      </c>
      <c r="F134">
        <f>_xlfn.XLOOKUP($C134,Mapping!$D$2:$D$54,Mapping!F$2:F$54)</f>
        <v>49.2483</v>
      </c>
      <c r="G134">
        <f>_xlfn.XLOOKUP($C134,Mapping!$D$2:$D$54,Mapping!G$2:G$54)</f>
        <v>-122.89700000000001</v>
      </c>
    </row>
    <row r="135" spans="1:7">
      <c r="A135">
        <v>2018</v>
      </c>
      <c r="B135" s="3" t="str">
        <f>_xlfn.XLOOKUP(C135,Mapping!$A$2:$A$54,Mapping!$B$2:$B$54)</f>
        <v>Expo Line</v>
      </c>
      <c r="C135" t="s">
        <v>47</v>
      </c>
      <c r="D135">
        <v>4918676</v>
      </c>
      <c r="E135" t="str">
        <f>_xlfn.XLOOKUP(C135,Mapping!$D$2:$D$54,Mapping!$E$2:$E$54)</f>
        <v>Vancouver</v>
      </c>
      <c r="F135">
        <f>_xlfn.XLOOKUP($C135,Mapping!$D$2:$D$54,Mapping!F$2:F$54)</f>
        <v>49.273200000000003</v>
      </c>
      <c r="G135">
        <f>_xlfn.XLOOKUP($C135,Mapping!$D$2:$D$54,Mapping!G$2:G$54)</f>
        <v>-123.1003</v>
      </c>
    </row>
    <row r="136" spans="1:7">
      <c r="A136">
        <v>2018</v>
      </c>
      <c r="B136" s="3" t="str">
        <f>_xlfn.XLOOKUP(C136,Mapping!$A$2:$A$54,Mapping!$B$2:$B$54)</f>
        <v>Canada Line</v>
      </c>
      <c r="C136" t="s">
        <v>26</v>
      </c>
      <c r="D136">
        <v>3467207</v>
      </c>
      <c r="E136" t="str">
        <f>_xlfn.XLOOKUP(C136,Mapping!$D$2:$D$54,Mapping!$E$2:$E$54)</f>
        <v>Vancouver</v>
      </c>
      <c r="F136">
        <f>_xlfn.XLOOKUP($C136,Mapping!$D$2:$D$54,Mapping!F$2:F$54)</f>
        <v>49.209800000000001</v>
      </c>
      <c r="G136">
        <f>_xlfn.XLOOKUP($C136,Mapping!$D$2:$D$54,Mapping!G$2:G$54)</f>
        <v>-123.1174</v>
      </c>
    </row>
    <row r="137" spans="1:7">
      <c r="A137">
        <v>2018</v>
      </c>
      <c r="B137" s="3" t="str">
        <f>_xlfn.XLOOKUP(C137,Mapping!$A$2:$A$54,Mapping!$B$2:$B$54)</f>
        <v>Expo Line</v>
      </c>
      <c r="C137" t="s">
        <v>27</v>
      </c>
      <c r="D137">
        <v>8213493</v>
      </c>
      <c r="E137" t="str">
        <f>_xlfn.XLOOKUP(C137,Mapping!$D$2:$D$54,Mapping!$E$2:$E$54)</f>
        <v>Burnaby</v>
      </c>
      <c r="F137">
        <f>_xlfn.XLOOKUP($C137,Mapping!$D$2:$D$54,Mapping!F$2:F$54)</f>
        <v>49.225700000000003</v>
      </c>
      <c r="G137">
        <f>_xlfn.XLOOKUP($C137,Mapping!$D$2:$D$54,Mapping!G$2:G$54)</f>
        <v>-123.0039</v>
      </c>
    </row>
    <row r="138" spans="1:7">
      <c r="A138">
        <v>2018</v>
      </c>
      <c r="B138" s="3" t="str">
        <f>_xlfn.XLOOKUP(C138,Mapping!$A$2:$A$54,Mapping!$B$2:$B$54)</f>
        <v>Millennium Line</v>
      </c>
      <c r="C138" t="s">
        <v>28</v>
      </c>
      <c r="D138">
        <v>731723</v>
      </c>
      <c r="E138" t="str">
        <f>_xlfn.XLOOKUP(C138,Mapping!$D$2:$D$54,Mapping!$E$2:$E$54)</f>
        <v>Port Moody</v>
      </c>
      <c r="F138">
        <f>_xlfn.XLOOKUP($C138,Mapping!$D$2:$D$54,Mapping!F$2:F$54)</f>
        <v>49.278300000000002</v>
      </c>
      <c r="G138">
        <f>_xlfn.XLOOKUP($C138,Mapping!$D$2:$D$54,Mapping!G$2:G$54)</f>
        <v>-122.845</v>
      </c>
    </row>
    <row r="139" spans="1:7">
      <c r="A139">
        <v>2018</v>
      </c>
      <c r="B139" s="3" t="str">
        <f>_xlfn.XLOOKUP(C139,Mapping!$A$2:$A$54,Mapping!$B$2:$B$54)</f>
        <v>Expo Line</v>
      </c>
      <c r="C139" t="s">
        <v>29</v>
      </c>
      <c r="D139">
        <v>2314059</v>
      </c>
      <c r="E139" t="str">
        <f>_xlfn.XLOOKUP(C139,Mapping!$D$2:$D$54,Mapping!$E$2:$E$54)</f>
        <v>Vancouver</v>
      </c>
      <c r="F139">
        <f>_xlfn.XLOOKUP($C139,Mapping!$D$2:$D$54,Mapping!F$2:F$54)</f>
        <v>49.2483</v>
      </c>
      <c r="G139">
        <f>_xlfn.XLOOKUP($C139,Mapping!$D$2:$D$54,Mapping!G$2:G$54)</f>
        <v>-123.05589999999999</v>
      </c>
    </row>
    <row r="140" spans="1:7">
      <c r="A140">
        <v>2018</v>
      </c>
      <c r="B140" s="3" t="str">
        <f>_xlfn.XLOOKUP(C140,Mapping!$A$2:$A$54,Mapping!$B$2:$B$54)</f>
        <v>Expo Line</v>
      </c>
      <c r="C140" t="s">
        <v>30</v>
      </c>
      <c r="D140">
        <v>5048852</v>
      </c>
      <c r="E140" t="str">
        <f>_xlfn.XLOOKUP(C140,Mapping!$D$2:$D$54,Mapping!$E$2:$E$54)</f>
        <v>New Westminster</v>
      </c>
      <c r="F140">
        <f>_xlfn.XLOOKUP($C140,Mapping!$D$2:$D$54,Mapping!F$2:F$54)</f>
        <v>49.201500000000003</v>
      </c>
      <c r="G140">
        <f>_xlfn.XLOOKUP($C140,Mapping!$D$2:$D$54,Mapping!G$2:G$54)</f>
        <v>-122.9126</v>
      </c>
    </row>
    <row r="141" spans="1:7">
      <c r="A141">
        <v>2018</v>
      </c>
      <c r="B141" s="3" t="str">
        <f>_xlfn.XLOOKUP(C141,Mapping!$A$2:$A$54,Mapping!$B$2:$B$54)</f>
        <v>Canada Line</v>
      </c>
      <c r="C141" t="s">
        <v>48</v>
      </c>
      <c r="D141">
        <v>2901082</v>
      </c>
      <c r="E141" t="str">
        <f>_xlfn.XLOOKUP(C141,Mapping!$D$2:$D$54,Mapping!$E$2:$E$54)</f>
        <v>Vancouver</v>
      </c>
      <c r="F141">
        <f>_xlfn.XLOOKUP($C141,Mapping!$D$2:$D$54,Mapping!F$2:F$54)</f>
        <v>49.232999999999997</v>
      </c>
      <c r="G141">
        <f>_xlfn.XLOOKUP($C141,Mapping!$D$2:$D$54,Mapping!G$2:G$54)</f>
        <v>-123.1161</v>
      </c>
    </row>
    <row r="142" spans="1:7">
      <c r="A142">
        <v>2018</v>
      </c>
      <c r="B142" s="3" t="str">
        <f>_xlfn.XLOOKUP(C142,Mapping!$A$2:$A$54,Mapping!$B$2:$B$54)</f>
        <v>Canada Line</v>
      </c>
      <c r="C142" t="s">
        <v>31</v>
      </c>
      <c r="D142">
        <v>1693487</v>
      </c>
      <c r="E142" t="str">
        <f>_xlfn.XLOOKUP(C142,Mapping!$D$2:$D$54,Mapping!$E$2:$E$54)</f>
        <v>Vancouver</v>
      </c>
      <c r="F142">
        <f>_xlfn.XLOOKUP($C142,Mapping!$D$2:$D$54,Mapping!F$2:F$54)</f>
        <v>49.266500000000001</v>
      </c>
      <c r="G142">
        <f>_xlfn.XLOOKUP($C142,Mapping!$D$2:$D$54,Mapping!G$2:G$54)</f>
        <v>-123.1156</v>
      </c>
    </row>
    <row r="143" spans="1:7">
      <c r="A143">
        <v>2018</v>
      </c>
      <c r="B143" s="3" t="str">
        <f>_xlfn.XLOOKUP(C143,Mapping!$A$2:$A$54,Mapping!$B$2:$B$54)</f>
        <v>Expo Line</v>
      </c>
      <c r="C143" t="s">
        <v>32</v>
      </c>
      <c r="D143">
        <v>1617352</v>
      </c>
      <c r="E143" t="str">
        <f>_xlfn.XLOOKUP(C143,Mapping!$D$2:$D$54,Mapping!$E$2:$E$54)</f>
        <v>Burnaby</v>
      </c>
      <c r="F143">
        <f>_xlfn.XLOOKUP($C143,Mapping!$D$2:$D$54,Mapping!F$2:F$54)</f>
        <v>49.229700000000001</v>
      </c>
      <c r="G143">
        <f>_xlfn.XLOOKUP($C143,Mapping!$D$2:$D$54,Mapping!G$2:G$54)</f>
        <v>-123.01260000000001</v>
      </c>
    </row>
    <row r="144" spans="1:7">
      <c r="A144">
        <v>2018</v>
      </c>
      <c r="B144" s="3" t="str">
        <f>_xlfn.XLOOKUP(C144,Mapping!$A$2:$A$54,Mapping!$B$2:$B$54)</f>
        <v>Expo / Millennium Line</v>
      </c>
      <c r="C144" t="s">
        <v>49</v>
      </c>
      <c r="D144">
        <v>1828386</v>
      </c>
      <c r="E144" t="str">
        <f>_xlfn.XLOOKUP(C144,Mapping!$D$2:$D$54,Mapping!$E$2:$E$54)</f>
        <v>Burnaby</v>
      </c>
      <c r="F144">
        <f>_xlfn.XLOOKUP($C144,Mapping!$D$2:$D$54,Mapping!F$2:F$54)</f>
        <v>49.253300000000003</v>
      </c>
      <c r="G144">
        <f>_xlfn.XLOOKUP($C144,Mapping!$D$2:$D$54,Mapping!G$2:G$54)</f>
        <v>-122.91800000000001</v>
      </c>
    </row>
    <row r="145" spans="1:7">
      <c r="A145">
        <v>2018</v>
      </c>
      <c r="B145" s="3" t="str">
        <f>_xlfn.XLOOKUP(C145,Mapping!$A$2:$A$54,Mapping!$B$2:$B$54)</f>
        <v>Millennium Line</v>
      </c>
      <c r="C145" t="s">
        <v>33</v>
      </c>
      <c r="D145">
        <v>1337162</v>
      </c>
      <c r="E145" t="str">
        <f>_xlfn.XLOOKUP(C145,Mapping!$D$2:$D$54,Mapping!$E$2:$E$54)</f>
        <v>Vancouver</v>
      </c>
      <c r="F145">
        <f>_xlfn.XLOOKUP($C145,Mapping!$D$2:$D$54,Mapping!F$2:F$54)</f>
        <v>49.258800000000001</v>
      </c>
      <c r="G145">
        <f>_xlfn.XLOOKUP($C145,Mapping!$D$2:$D$54,Mapping!G$2:G$54)</f>
        <v>-123.0453</v>
      </c>
    </row>
    <row r="146" spans="1:7">
      <c r="A146">
        <v>2018</v>
      </c>
      <c r="B146" s="3" t="str">
        <f>_xlfn.XLOOKUP(C146,Mapping!$A$2:$A$54,Mapping!$B$2:$B$54)</f>
        <v>Canada Line</v>
      </c>
      <c r="C146" t="s">
        <v>50</v>
      </c>
      <c r="D146">
        <v>3968279</v>
      </c>
      <c r="E146" t="str">
        <f>_xlfn.XLOOKUP(C146,Mapping!$D$2:$D$54,Mapping!$E$2:$E$54)</f>
        <v>Richmond</v>
      </c>
      <c r="F146">
        <f>_xlfn.XLOOKUP($C146,Mapping!$D$2:$D$54,Mapping!F$2:F$54)</f>
        <v>49.168100000000003</v>
      </c>
      <c r="G146">
        <f>_xlfn.XLOOKUP($C146,Mapping!$D$2:$D$54,Mapping!G$2:G$54)</f>
        <v>-123.1362</v>
      </c>
    </row>
    <row r="147" spans="1:7">
      <c r="A147">
        <v>2018</v>
      </c>
      <c r="B147" s="3" t="str">
        <f>_xlfn.XLOOKUP(C147,Mapping!$A$2:$A$54,Mapping!$B$2:$B$54)</f>
        <v>Expo Line</v>
      </c>
      <c r="C147" t="s">
        <v>34</v>
      </c>
      <c r="D147">
        <v>1847187</v>
      </c>
      <c r="E147" t="str">
        <f>_xlfn.XLOOKUP(C147,Mapping!$D$2:$D$54,Mapping!$E$2:$E$54)</f>
        <v>Burnaby</v>
      </c>
      <c r="F147">
        <f>_xlfn.XLOOKUP($C147,Mapping!$D$2:$D$54,Mapping!F$2:F$54)</f>
        <v>49.220100000000002</v>
      </c>
      <c r="G147">
        <f>_xlfn.XLOOKUP($C147,Mapping!$D$2:$D$54,Mapping!G$2:G$54)</f>
        <v>-122.9884</v>
      </c>
    </row>
    <row r="148" spans="1:7">
      <c r="A148">
        <v>2018</v>
      </c>
      <c r="B148" s="3" t="str">
        <f>_xlfn.XLOOKUP(C148,Mapping!$A$2:$A$54,Mapping!$B$2:$B$54)</f>
        <v>Millennium Line</v>
      </c>
      <c r="C148" t="s">
        <v>35</v>
      </c>
      <c r="D148">
        <v>1007885</v>
      </c>
      <c r="E148" t="str">
        <f>_xlfn.XLOOKUP(C148,Mapping!$D$2:$D$54,Mapping!$E$2:$E$54)</f>
        <v>Vancouver</v>
      </c>
      <c r="F148">
        <f>_xlfn.XLOOKUP($C148,Mapping!$D$2:$D$54,Mapping!F$2:F$54)</f>
        <v>49.258800000000001</v>
      </c>
      <c r="G148">
        <f>_xlfn.XLOOKUP($C148,Mapping!$D$2:$D$54,Mapping!G$2:G$54)</f>
        <v>-123.02670000000001</v>
      </c>
    </row>
    <row r="149" spans="1:7">
      <c r="A149">
        <v>2018</v>
      </c>
      <c r="B149" s="3" t="str">
        <f>_xlfn.XLOOKUP(C149,Mapping!$A$2:$A$54,Mapping!$B$2:$B$54)</f>
        <v>Expo Line</v>
      </c>
      <c r="C149" t="s">
        <v>36</v>
      </c>
      <c r="D149">
        <v>964622</v>
      </c>
      <c r="E149" t="str">
        <f>_xlfn.XLOOKUP(C149,Mapping!$D$2:$D$54,Mapping!$E$2:$E$54)</f>
        <v>New Westminster</v>
      </c>
      <c r="F149">
        <f>_xlfn.XLOOKUP($C149,Mapping!$D$2:$D$54,Mapping!F$2:F$54)</f>
        <v>49.2254</v>
      </c>
      <c r="G149">
        <f>_xlfn.XLOOKUP($C149,Mapping!$D$2:$D$54,Mapping!G$2:G$54)</f>
        <v>-122.88639999999999</v>
      </c>
    </row>
    <row r="150" spans="1:7">
      <c r="A150">
        <v>2018</v>
      </c>
      <c r="B150" s="3" t="str">
        <f>_xlfn.XLOOKUP(C150,Mapping!$A$2:$A$54,Mapping!$B$2:$B$54)</f>
        <v>Expo Line</v>
      </c>
      <c r="C150" t="s">
        <v>37</v>
      </c>
      <c r="D150">
        <v>3080982</v>
      </c>
      <c r="E150" t="str">
        <f>_xlfn.XLOOKUP(C150,Mapping!$D$2:$D$54,Mapping!$E$2:$E$54)</f>
        <v>Surrey</v>
      </c>
      <c r="F150">
        <f>_xlfn.XLOOKUP($C150,Mapping!$D$2:$D$54,Mapping!F$2:F$54)</f>
        <v>49.2044</v>
      </c>
      <c r="G150">
        <f>_xlfn.XLOOKUP($C150,Mapping!$D$2:$D$54,Mapping!G$2:G$54)</f>
        <v>-122.87430000000001</v>
      </c>
    </row>
    <row r="151" spans="1:7">
      <c r="A151">
        <v>2018</v>
      </c>
      <c r="B151" s="3" t="str">
        <f>_xlfn.XLOOKUP(C151,Mapping!$A$2:$A$54,Mapping!$B$2:$B$54)</f>
        <v>Canada Line</v>
      </c>
      <c r="C151" t="s">
        <v>38</v>
      </c>
      <c r="D151">
        <v>296249</v>
      </c>
      <c r="E151" t="str">
        <f>_xlfn.XLOOKUP(C151,Mapping!$D$2:$D$54,Mapping!$E$2:$E$54)</f>
        <v>Richmond</v>
      </c>
      <c r="F151">
        <f>_xlfn.XLOOKUP($C151,Mapping!$D$2:$D$54,Mapping!F$2:F$54)</f>
        <v>49.193100000000001</v>
      </c>
      <c r="G151">
        <f>_xlfn.XLOOKUP($C151,Mapping!$D$2:$D$54,Mapping!G$2:G$54)</f>
        <v>-123.1553</v>
      </c>
    </row>
    <row r="152" spans="1:7">
      <c r="A152">
        <v>2018</v>
      </c>
      <c r="B152" s="3" t="str">
        <f>_xlfn.XLOOKUP(C152,Mapping!$A$2:$A$54,Mapping!$B$2:$B$54)</f>
        <v>Millennium Line</v>
      </c>
      <c r="C152" t="s">
        <v>51</v>
      </c>
      <c r="D152">
        <v>677883</v>
      </c>
      <c r="E152" t="str">
        <f>_xlfn.XLOOKUP(C152,Mapping!$D$2:$D$54,Mapping!$E$2:$E$54)</f>
        <v>Burnaby</v>
      </c>
      <c r="F152">
        <f>_xlfn.XLOOKUP($C152,Mapping!$D$2:$D$54,Mapping!F$2:F$54)</f>
        <v>49.2592</v>
      </c>
      <c r="G152">
        <f>_xlfn.XLOOKUP($C152,Mapping!$D$2:$D$54,Mapping!G$2:G$54)</f>
        <v>-122.96420000000001</v>
      </c>
    </row>
    <row r="153" spans="1:7">
      <c r="A153">
        <v>2018</v>
      </c>
      <c r="B153" s="3" t="str">
        <f>_xlfn.XLOOKUP(C153,Mapping!$A$2:$A$54,Mapping!$B$2:$B$54)</f>
        <v>Expo Line</v>
      </c>
      <c r="C153" t="s">
        <v>52</v>
      </c>
      <c r="D153">
        <v>5687240</v>
      </c>
      <c r="E153" t="str">
        <f>_xlfn.XLOOKUP(C153,Mapping!$D$2:$D$54,Mapping!$E$2:$E$54)</f>
        <v>Vancouver</v>
      </c>
      <c r="F153">
        <f>_xlfn.XLOOKUP($C153,Mapping!$D$2:$D$54,Mapping!F$2:F$54)</f>
        <v>49.279600000000002</v>
      </c>
      <c r="G153">
        <f>_xlfn.XLOOKUP($C153,Mapping!$D$2:$D$54,Mapping!G$2:G$54)</f>
        <v>-123.10980000000001</v>
      </c>
    </row>
    <row r="154" spans="1:7">
      <c r="A154">
        <v>2018</v>
      </c>
      <c r="B154" s="3" t="str">
        <f>_xlfn.XLOOKUP(C154,Mapping!$A$2:$A$54,Mapping!$B$2:$B$54)</f>
        <v>Expo Line</v>
      </c>
      <c r="C154" t="s">
        <v>39</v>
      </c>
      <c r="D154">
        <v>4209767</v>
      </c>
      <c r="E154" t="str">
        <f>_xlfn.XLOOKUP(C154,Mapping!$D$2:$D$54,Mapping!$E$2:$E$54)</f>
        <v>Surrey</v>
      </c>
      <c r="F154">
        <f>_xlfn.XLOOKUP($C154,Mapping!$D$2:$D$54,Mapping!F$2:F$54)</f>
        <v>49.189599999999999</v>
      </c>
      <c r="G154">
        <f>_xlfn.XLOOKUP($C154,Mapping!$D$2:$D$54,Mapping!G$2:G$54)</f>
        <v>-122.8479</v>
      </c>
    </row>
    <row r="155" spans="1:7">
      <c r="A155">
        <v>2018</v>
      </c>
      <c r="B155" s="3" t="str">
        <f>_xlfn.XLOOKUP(C155,Mapping!$A$2:$A$54,Mapping!$B$2:$B$54)</f>
        <v>Canada Line</v>
      </c>
      <c r="C155" t="s">
        <v>40</v>
      </c>
      <c r="D155">
        <v>1185216</v>
      </c>
      <c r="E155" t="str">
        <f>_xlfn.XLOOKUP(C155,Mapping!$D$2:$D$54,Mapping!$E$2:$E$54)</f>
        <v>Richmond</v>
      </c>
      <c r="F155">
        <f>_xlfn.XLOOKUP($C155,Mapping!$D$2:$D$54,Mapping!F$2:F$54)</f>
        <v>49.196300000000001</v>
      </c>
      <c r="G155">
        <f>_xlfn.XLOOKUP($C155,Mapping!$D$2:$D$54,Mapping!G$2:G$54)</f>
        <v>-123.1465</v>
      </c>
    </row>
    <row r="156" spans="1:7">
      <c r="A156">
        <v>2018</v>
      </c>
      <c r="B156" s="3" t="str">
        <f>_xlfn.XLOOKUP(C156,Mapping!$A$2:$A$54,Mapping!$B$2:$B$54)</f>
        <v>Canada Line</v>
      </c>
      <c r="C156" t="s">
        <v>41</v>
      </c>
      <c r="D156">
        <v>6253182</v>
      </c>
      <c r="E156" t="str">
        <f>_xlfn.XLOOKUP(C156,Mapping!$D$2:$D$54,Mapping!$E$2:$E$54)</f>
        <v>Vancouver</v>
      </c>
      <c r="F156">
        <f>_xlfn.XLOOKUP($C156,Mapping!$D$2:$D$54,Mapping!F$2:F$54)</f>
        <v>49.282499999999999</v>
      </c>
      <c r="G156">
        <f>_xlfn.XLOOKUP($C156,Mapping!$D$2:$D$54,Mapping!G$2:G$54)</f>
        <v>-123.1185</v>
      </c>
    </row>
    <row r="157" spans="1:7">
      <c r="A157">
        <v>2018</v>
      </c>
      <c r="B157" s="3" t="str">
        <f>_xlfn.XLOOKUP(C157,Mapping!$A$2:$A$54,Mapping!$B$2:$B$54)</f>
        <v>Millennium Line</v>
      </c>
      <c r="C157" t="s">
        <v>53</v>
      </c>
      <c r="D157">
        <v>1029028</v>
      </c>
      <c r="E157" t="str">
        <f>_xlfn.XLOOKUP(C157,Mapping!$D$2:$D$54,Mapping!$E$2:$E$54)</f>
        <v>Vancouver</v>
      </c>
      <c r="F157">
        <f>_xlfn.XLOOKUP($C157,Mapping!$D$2:$D$54,Mapping!F$2:F$54)</f>
        <v>49.265799999999999</v>
      </c>
      <c r="G157">
        <f>_xlfn.XLOOKUP($C157,Mapping!$D$2:$D$54,Mapping!G$2:G$54)</f>
        <v>-123.0792</v>
      </c>
    </row>
    <row r="158" spans="1:7">
      <c r="A158">
        <v>2018</v>
      </c>
      <c r="B158" s="3" t="str">
        <f>_xlfn.XLOOKUP(C158,Mapping!$A$2:$A$54,Mapping!$B$2:$B$54)</f>
        <v>Expo / Canada Line</v>
      </c>
      <c r="C158" t="s">
        <v>42</v>
      </c>
      <c r="D158">
        <v>12616840</v>
      </c>
      <c r="E158" t="str">
        <f>_xlfn.XLOOKUP(C158,Mapping!$D$2:$D$54,Mapping!$E$2:$E$54)</f>
        <v>Vancouver</v>
      </c>
      <c r="F158">
        <f>_xlfn.XLOOKUP($C158,Mapping!$D$2:$D$54,Mapping!F$2:F$54)</f>
        <v>49.285899999999998</v>
      </c>
      <c r="G158">
        <f>_xlfn.XLOOKUP($C158,Mapping!$D$2:$D$54,Mapping!G$2:G$54)</f>
        <v>-123.1118</v>
      </c>
    </row>
    <row r="159" spans="1:7">
      <c r="A159">
        <v>2018</v>
      </c>
      <c r="B159" s="3" t="str">
        <f>_xlfn.XLOOKUP(C159,Mapping!$A$2:$A$54,Mapping!$B$2:$B$54)</f>
        <v>Canada Line</v>
      </c>
      <c r="C159" t="s">
        <v>54</v>
      </c>
      <c r="D159">
        <v>3611252</v>
      </c>
      <c r="E159" t="str">
        <f>_xlfn.XLOOKUP(C159,Mapping!$D$2:$D$54,Mapping!$E$2:$E$54)</f>
        <v>Vancouver</v>
      </c>
      <c r="F159">
        <f>_xlfn.XLOOKUP($C159,Mapping!$D$2:$D$54,Mapping!F$2:F$54)</f>
        <v>49.274500000000003</v>
      </c>
      <c r="G159">
        <f>_xlfn.XLOOKUP($C159,Mapping!$D$2:$D$54,Mapping!G$2:G$54)</f>
        <v>-123.1219</v>
      </c>
    </row>
    <row r="160" spans="1:7">
      <c r="A160">
        <v>2018</v>
      </c>
      <c r="B160" s="3" t="str">
        <f>_xlfn.XLOOKUP(C160,Mapping!$A$2:$A$54,Mapping!$B$2:$B$54)</f>
        <v>Canada Line</v>
      </c>
      <c r="C160" t="s">
        <v>55</v>
      </c>
      <c r="D160">
        <v>3012152</v>
      </c>
      <c r="E160" t="str">
        <f>_xlfn.XLOOKUP(C160,Mapping!$D$2:$D$54,Mapping!$E$2:$E$54)</f>
        <v>Richmond</v>
      </c>
      <c r="F160">
        <f>_xlfn.XLOOKUP($C160,Mapping!$D$2:$D$54,Mapping!F$2:F$54)</f>
        <v>49.193899999999999</v>
      </c>
      <c r="G160">
        <f>_xlfn.XLOOKUP($C160,Mapping!$D$2:$D$54,Mapping!G$2:G$54)</f>
        <v>-123.1765</v>
      </c>
    </row>
    <row r="161" spans="1:7">
      <c r="A161">
        <v>2019</v>
      </c>
      <c r="B161" s="3" t="str">
        <f>_xlfn.XLOOKUP(C161,Mapping!$A$2:$A$54,Mapping!$B$2:$B$54)</f>
        <v>Expo Line</v>
      </c>
      <c r="C161" t="s">
        <v>3</v>
      </c>
      <c r="D161">
        <v>3452254</v>
      </c>
      <c r="E161" t="str">
        <f>_xlfn.XLOOKUP(C161,Mapping!$D$2:$D$54,Mapping!$E$2:$E$54)</f>
        <v>New Westminster</v>
      </c>
      <c r="F161">
        <f>_xlfn.XLOOKUP($C161,Mapping!$D$2:$D$54,Mapping!F$2:F$54)</f>
        <v>49.2</v>
      </c>
      <c r="G161">
        <f>_xlfn.XLOOKUP($C161,Mapping!$D$2:$D$54,Mapping!G$2:G$54)</f>
        <v>-122.949</v>
      </c>
    </row>
    <row r="162" spans="1:7">
      <c r="A162">
        <v>2019</v>
      </c>
      <c r="B162" s="3" t="str">
        <f>_xlfn.XLOOKUP(C162,Mapping!$A$2:$A$54,Mapping!$B$2:$B$54)</f>
        <v>Expo Line</v>
      </c>
      <c r="C162" t="s">
        <v>4</v>
      </c>
      <c r="D162">
        <v>2519145</v>
      </c>
      <c r="E162" t="str">
        <f>_xlfn.XLOOKUP(C162,Mapping!$D$2:$D$54,Mapping!$E$2:$E$54)</f>
        <v>Vancouver</v>
      </c>
      <c r="F162">
        <f>_xlfn.XLOOKUP($C162,Mapping!$D$2:$D$54,Mapping!F$2:F$54)</f>
        <v>49.244300000000003</v>
      </c>
      <c r="G162">
        <f>_xlfn.XLOOKUP($C162,Mapping!$D$2:$D$54,Mapping!G$2:G$54)</f>
        <v>-123.045</v>
      </c>
    </row>
    <row r="163" spans="1:7">
      <c r="A163">
        <v>2019</v>
      </c>
      <c r="B163" s="3" t="str">
        <f>_xlfn.XLOOKUP(C163,Mapping!$A$2:$A$54,Mapping!$B$2:$B$54)</f>
        <v>Canada Line</v>
      </c>
      <c r="C163" t="s">
        <v>5</v>
      </c>
      <c r="D163">
        <v>1608425</v>
      </c>
      <c r="E163" t="str">
        <f>_xlfn.XLOOKUP(C163,Mapping!$D$2:$D$54,Mapping!$E$2:$E$54)</f>
        <v>Richmond</v>
      </c>
      <c r="F163">
        <f>_xlfn.XLOOKUP($C163,Mapping!$D$2:$D$54,Mapping!F$2:F$54)</f>
        <v>49.1843</v>
      </c>
      <c r="G163">
        <f>_xlfn.XLOOKUP($C163,Mapping!$D$2:$D$54,Mapping!G$2:G$54)</f>
        <v>-123.1362</v>
      </c>
    </row>
    <row r="164" spans="1:7">
      <c r="A164">
        <v>2019</v>
      </c>
      <c r="B164" s="3" t="str">
        <f>_xlfn.XLOOKUP(C164,Mapping!$A$2:$A$54,Mapping!$B$2:$B$54)</f>
        <v>Expo Line</v>
      </c>
      <c r="C164" t="s">
        <v>6</v>
      </c>
      <c r="D164">
        <v>1326541</v>
      </c>
      <c r="E164" t="str">
        <f>_xlfn.XLOOKUP(C164,Mapping!$D$2:$D$54,Mapping!$E$2:$E$54)</f>
        <v>New Westminster</v>
      </c>
      <c r="F164">
        <f>_xlfn.XLOOKUP($C164,Mapping!$D$2:$D$54,Mapping!F$2:F$54)</f>
        <v>49.232999999999997</v>
      </c>
      <c r="G164">
        <f>_xlfn.XLOOKUP($C164,Mapping!$D$2:$D$54,Mapping!G$2:G$54)</f>
        <v>-122.8828</v>
      </c>
    </row>
    <row r="165" spans="1:7">
      <c r="A165">
        <v>2019</v>
      </c>
      <c r="B165" s="3" t="str">
        <f>_xlfn.XLOOKUP(C165,Mapping!$A$2:$A$54,Mapping!$B$2:$B$54)</f>
        <v>Millennium Line</v>
      </c>
      <c r="C165" t="s">
        <v>7</v>
      </c>
      <c r="D165">
        <v>1792211</v>
      </c>
      <c r="E165" t="str">
        <f>_xlfn.XLOOKUP(C165,Mapping!$D$2:$D$54,Mapping!$E$2:$E$54)</f>
        <v>Burnaby</v>
      </c>
      <c r="F165">
        <f>_xlfn.XLOOKUP($C165,Mapping!$D$2:$D$54,Mapping!F$2:F$54)</f>
        <v>49.266199999999998</v>
      </c>
      <c r="G165">
        <f>_xlfn.XLOOKUP($C165,Mapping!$D$2:$D$54,Mapping!G$2:G$54)</f>
        <v>-123.0016</v>
      </c>
    </row>
    <row r="166" spans="1:7">
      <c r="A166">
        <v>2019</v>
      </c>
      <c r="B166" s="3" t="str">
        <f>_xlfn.XLOOKUP(C166,Mapping!$A$2:$A$54,Mapping!$B$2:$B$54)</f>
        <v>Canada Line</v>
      </c>
      <c r="C166" t="s">
        <v>8</v>
      </c>
      <c r="D166">
        <v>3937719</v>
      </c>
      <c r="E166" t="str">
        <f>_xlfn.XLOOKUP(C166,Mapping!$D$2:$D$54,Mapping!$E$2:$E$54)</f>
        <v>Richmond</v>
      </c>
      <c r="F166">
        <f>_xlfn.XLOOKUP($C166,Mapping!$D$2:$D$54,Mapping!F$2:F$54)</f>
        <v>49.192500000000003</v>
      </c>
      <c r="G166">
        <f>_xlfn.XLOOKUP($C166,Mapping!$D$2:$D$54,Mapping!G$2:G$54)</f>
        <v>-123.1264</v>
      </c>
    </row>
    <row r="167" spans="1:7">
      <c r="A167">
        <v>2019</v>
      </c>
      <c r="B167" s="3" t="str">
        <f>_xlfn.XLOOKUP(C167,Mapping!$A$2:$A$54,Mapping!$B$2:$B$54)</f>
        <v>Canada Line</v>
      </c>
      <c r="C167" t="s">
        <v>43</v>
      </c>
      <c r="D167">
        <v>4748380</v>
      </c>
      <c r="E167" t="str">
        <f>_xlfn.XLOOKUP(C167,Mapping!$D$2:$D$54,Mapping!$E$2:$E$54)</f>
        <v>Vancouver</v>
      </c>
      <c r="F167">
        <f>_xlfn.XLOOKUP($C167,Mapping!$D$2:$D$54,Mapping!F$2:F$54)</f>
        <v>49.263100000000001</v>
      </c>
      <c r="G167">
        <f>_xlfn.XLOOKUP($C167,Mapping!$D$2:$D$54,Mapping!G$2:G$54)</f>
        <v>-123.1147</v>
      </c>
    </row>
    <row r="168" spans="1:7">
      <c r="A168">
        <v>2019</v>
      </c>
      <c r="B168" s="3" t="str">
        <f>_xlfn.XLOOKUP(C168,Mapping!$A$2:$A$54,Mapping!$B$2:$B$54)</f>
        <v>Millennium Line</v>
      </c>
      <c r="C168" t="s">
        <v>9</v>
      </c>
      <c r="D168">
        <v>1441412</v>
      </c>
      <c r="E168" t="str">
        <f>_xlfn.XLOOKUP(C168,Mapping!$D$2:$D$54,Mapping!$E$2:$E$54)</f>
        <v>Coquitlam</v>
      </c>
      <c r="F168">
        <f>_xlfn.XLOOKUP($C168,Mapping!$D$2:$D$54,Mapping!F$2:F$54)</f>
        <v>49.261800000000001</v>
      </c>
      <c r="G168">
        <f>_xlfn.XLOOKUP($C168,Mapping!$D$2:$D$54,Mapping!G$2:G$54)</f>
        <v>-122.88979999999999</v>
      </c>
    </row>
    <row r="169" spans="1:7">
      <c r="A169">
        <v>2019</v>
      </c>
      <c r="B169" s="3" t="str">
        <f>_xlfn.XLOOKUP(C169,Mapping!$A$2:$A$54,Mapping!$B$2:$B$54)</f>
        <v>Expo Line</v>
      </c>
      <c r="C169" t="s">
        <v>10</v>
      </c>
      <c r="D169">
        <v>7604641</v>
      </c>
      <c r="E169" t="str">
        <f>_xlfn.XLOOKUP(C169,Mapping!$D$2:$D$54,Mapping!$E$2:$E$54)</f>
        <v>Vancouver</v>
      </c>
      <c r="F169">
        <f>_xlfn.XLOOKUP($C169,Mapping!$D$2:$D$54,Mapping!F$2:F$54)</f>
        <v>49.285600000000002</v>
      </c>
      <c r="G169">
        <f>_xlfn.XLOOKUP($C169,Mapping!$D$2:$D$54,Mapping!G$2:G$54)</f>
        <v>-123.1202</v>
      </c>
    </row>
    <row r="170" spans="1:7">
      <c r="A170">
        <v>2019</v>
      </c>
      <c r="B170" s="3" t="str">
        <f>_xlfn.XLOOKUP(C170,Mapping!$A$2:$A$54,Mapping!$B$2:$B$54)</f>
        <v>Expo Line</v>
      </c>
      <c r="C170" t="s">
        <v>11</v>
      </c>
      <c r="D170">
        <v>1639877</v>
      </c>
      <c r="E170" t="str">
        <f>_xlfn.XLOOKUP(C170,Mapping!$D$2:$D$54,Mapping!$E$2:$E$54)</f>
        <v>New Westminster</v>
      </c>
      <c r="F170">
        <f>_xlfn.XLOOKUP($C170,Mapping!$D$2:$D$54,Mapping!F$2:F$54)</f>
        <v>49.204799999999999</v>
      </c>
      <c r="G170">
        <f>_xlfn.XLOOKUP($C170,Mapping!$D$2:$D$54,Mapping!G$2:G$54)</f>
        <v>-122.9061</v>
      </c>
    </row>
    <row r="171" spans="1:7">
      <c r="A171">
        <v>2019</v>
      </c>
      <c r="B171" s="3" t="str">
        <f>_xlfn.XLOOKUP(C171,Mapping!$A$2:$A$54,Mapping!$B$2:$B$54)</f>
        <v>Expo / Millennium Line</v>
      </c>
      <c r="C171" t="s">
        <v>44</v>
      </c>
      <c r="D171">
        <v>8102795</v>
      </c>
      <c r="E171" t="str">
        <f>_xlfn.XLOOKUP(C171,Mapping!$D$2:$D$54,Mapping!$E$2:$E$54)</f>
        <v>Vancouver</v>
      </c>
      <c r="F171">
        <f>_xlfn.XLOOKUP($C171,Mapping!$D$2:$D$54,Mapping!F$2:F$54)</f>
        <v>49.262500000000003</v>
      </c>
      <c r="G171">
        <f>_xlfn.XLOOKUP($C171,Mapping!$D$2:$D$54,Mapping!G$2:G$54)</f>
        <v>-123.0694</v>
      </c>
    </row>
    <row r="172" spans="1:7">
      <c r="A172">
        <v>2019</v>
      </c>
      <c r="B172" s="3" t="str">
        <f>_xlfn.XLOOKUP(C172,Mapping!$A$2:$A$54,Mapping!$B$2:$B$54)</f>
        <v>Millennium Line</v>
      </c>
      <c r="C172" t="s">
        <v>12</v>
      </c>
      <c r="D172">
        <v>1539785</v>
      </c>
      <c r="E172" t="str">
        <f>_xlfn.XLOOKUP(C172,Mapping!$D$2:$D$54,Mapping!$E$2:$E$54)</f>
        <v>Coquitlam</v>
      </c>
      <c r="F172">
        <f>_xlfn.XLOOKUP($C172,Mapping!$D$2:$D$54,Mapping!F$2:F$54)</f>
        <v>49.274000000000001</v>
      </c>
      <c r="G172">
        <f>_xlfn.XLOOKUP($C172,Mapping!$D$2:$D$54,Mapping!G$2:G$54)</f>
        <v>-122.7993</v>
      </c>
    </row>
    <row r="173" spans="1:7">
      <c r="A173">
        <v>2019</v>
      </c>
      <c r="B173" s="3" t="str">
        <f>_xlfn.XLOOKUP(C173,Mapping!$A$2:$A$54,Mapping!$B$2:$B$54)</f>
        <v>Expo Line</v>
      </c>
      <c r="C173" t="s">
        <v>13</v>
      </c>
      <c r="D173">
        <v>3966667</v>
      </c>
      <c r="E173" t="str">
        <f>_xlfn.XLOOKUP(C173,Mapping!$D$2:$D$54,Mapping!$E$2:$E$54)</f>
        <v>Burnaby</v>
      </c>
      <c r="F173">
        <f>_xlfn.XLOOKUP($C173,Mapping!$D$2:$D$54,Mapping!F$2:F$54)</f>
        <v>49.213799999999999</v>
      </c>
      <c r="G173">
        <f>_xlfn.XLOOKUP($C173,Mapping!$D$2:$D$54,Mapping!G$2:G$54)</f>
        <v>-122.9592</v>
      </c>
    </row>
    <row r="174" spans="1:7">
      <c r="A174">
        <v>2019</v>
      </c>
      <c r="B174" s="3" t="str">
        <f>_xlfn.XLOOKUP(C174,Mapping!$A$2:$A$54,Mapping!$B$2:$B$54)</f>
        <v>Expo Line</v>
      </c>
      <c r="C174" t="s">
        <v>14</v>
      </c>
      <c r="D174">
        <v>1920488</v>
      </c>
      <c r="E174" t="str">
        <f>_xlfn.XLOOKUP(C174,Mapping!$D$2:$D$54,Mapping!$E$2:$E$54)</f>
        <v>Surrey</v>
      </c>
      <c r="F174">
        <f>_xlfn.XLOOKUP($C174,Mapping!$D$2:$D$54,Mapping!F$2:F$54)</f>
        <v>49.198900000000002</v>
      </c>
      <c r="G174">
        <f>_xlfn.XLOOKUP($C174,Mapping!$D$2:$D$54,Mapping!G$2:G$54)</f>
        <v>-122.8507</v>
      </c>
    </row>
    <row r="175" spans="1:7">
      <c r="A175">
        <v>2019</v>
      </c>
      <c r="B175" s="3" t="str">
        <f>_xlfn.XLOOKUP(C175,Mapping!$A$2:$A$54,Mapping!$B$2:$B$54)</f>
        <v>Millennium Line</v>
      </c>
      <c r="C175" t="s">
        <v>15</v>
      </c>
      <c r="D175">
        <v>1238581</v>
      </c>
      <c r="E175" t="str">
        <f>_xlfn.XLOOKUP(C175,Mapping!$D$2:$D$54,Mapping!$E$2:$E$54)</f>
        <v>Burnaby</v>
      </c>
      <c r="F175">
        <f>_xlfn.XLOOKUP($C175,Mapping!$D$2:$D$54,Mapping!F$2:F$54)</f>
        <v>49.264899999999997</v>
      </c>
      <c r="G175">
        <f>_xlfn.XLOOKUP($C175,Mapping!$D$2:$D$54,Mapping!G$2:G$54)</f>
        <v>-123.01349999999999</v>
      </c>
    </row>
    <row r="176" spans="1:7">
      <c r="A176">
        <v>2019</v>
      </c>
      <c r="B176" s="3" t="str">
        <f>_xlfn.XLOOKUP(C176,Mapping!$A$2:$A$54,Mapping!$B$2:$B$54)</f>
        <v>Expo Line</v>
      </c>
      <c r="C176" t="s">
        <v>16</v>
      </c>
      <c r="D176">
        <v>6628061</v>
      </c>
      <c r="E176" t="str">
        <f>_xlfn.XLOOKUP(C176,Mapping!$D$2:$D$54,Mapping!$E$2:$E$54)</f>
        <v>Vancouver</v>
      </c>
      <c r="F176">
        <f>_xlfn.XLOOKUP($C176,Mapping!$D$2:$D$54,Mapping!F$2:F$54)</f>
        <v>49.283099999999997</v>
      </c>
      <c r="G176">
        <f>_xlfn.XLOOKUP($C176,Mapping!$D$2:$D$54,Mapping!G$2:G$54)</f>
        <v>-123.1161</v>
      </c>
    </row>
    <row r="177" spans="1:7">
      <c r="A177">
        <v>2019</v>
      </c>
      <c r="B177" s="3" t="str">
        <f>_xlfn.XLOOKUP(C177,Mapping!$A$2:$A$54,Mapping!$B$2:$B$54)</f>
        <v>Millennium Line</v>
      </c>
      <c r="C177" t="s">
        <v>17</v>
      </c>
      <c r="D177">
        <v>1047458</v>
      </c>
      <c r="E177" t="str">
        <f>_xlfn.XLOOKUP(C177,Mapping!$D$2:$D$54,Mapping!$E$2:$E$54)</f>
        <v>Burnaby</v>
      </c>
      <c r="F177">
        <f>_xlfn.XLOOKUP($C177,Mapping!$D$2:$D$54,Mapping!F$2:F$54)</f>
        <v>49.264699999999998</v>
      </c>
      <c r="G177">
        <f>_xlfn.XLOOKUP($C177,Mapping!$D$2:$D$54,Mapping!G$2:G$54)</f>
        <v>-122.98220000000001</v>
      </c>
    </row>
    <row r="178" spans="1:7">
      <c r="A178">
        <v>2019</v>
      </c>
      <c r="B178" s="3" t="str">
        <f>_xlfn.XLOOKUP(C178,Mapping!$A$2:$A$54,Mapping!$B$2:$B$54)</f>
        <v>Millennium Line</v>
      </c>
      <c r="C178" t="s">
        <v>18</v>
      </c>
      <c r="D178">
        <v>694178</v>
      </c>
      <c r="E178" t="str">
        <f>_xlfn.XLOOKUP(C178,Mapping!$D$2:$D$54,Mapping!$E$2:$E$54)</f>
        <v>Port Moody</v>
      </c>
      <c r="F178">
        <f>_xlfn.XLOOKUP($C178,Mapping!$D$2:$D$54,Mapping!F$2:F$54)</f>
        <v>49.277700000000003</v>
      </c>
      <c r="G178">
        <f>_xlfn.XLOOKUP($C178,Mapping!$D$2:$D$54,Mapping!G$2:G$54)</f>
        <v>-122.82859999999999</v>
      </c>
    </row>
    <row r="179" spans="1:7">
      <c r="A179">
        <v>2019</v>
      </c>
      <c r="B179" s="3" t="str">
        <f>_xlfn.XLOOKUP(C179,Mapping!$A$2:$A$54,Mapping!$B$2:$B$54)</f>
        <v>Expo Line</v>
      </c>
      <c r="C179" t="s">
        <v>45</v>
      </c>
      <c r="D179">
        <v>5132539</v>
      </c>
      <c r="E179" t="str">
        <f>_xlfn.XLOOKUP(C179,Mapping!$D$2:$D$54,Mapping!$E$2:$E$54)</f>
        <v>Vancouver</v>
      </c>
      <c r="F179">
        <f>_xlfn.XLOOKUP($C179,Mapping!$D$2:$D$54,Mapping!F$2:F$54)</f>
        <v>49.238399999999999</v>
      </c>
      <c r="G179">
        <f>_xlfn.XLOOKUP($C179,Mapping!$D$2:$D$54,Mapping!G$2:G$54)</f>
        <v>-123.0318</v>
      </c>
    </row>
    <row r="180" spans="1:7">
      <c r="A180">
        <v>2019</v>
      </c>
      <c r="B180" s="3" t="str">
        <f>_xlfn.XLOOKUP(C180,Mapping!$A$2:$A$54,Mapping!$B$2:$B$54)</f>
        <v>Canada Line</v>
      </c>
      <c r="C180" t="s">
        <v>19</v>
      </c>
      <c r="D180">
        <v>2369840</v>
      </c>
      <c r="E180" t="str">
        <f>_xlfn.XLOOKUP(C180,Mapping!$D$2:$D$54,Mapping!$E$2:$E$54)</f>
        <v>Vancouver</v>
      </c>
      <c r="F180">
        <f>_xlfn.XLOOKUP($C180,Mapping!$D$2:$D$54,Mapping!F$2:F$54)</f>
        <v>49.249200000000002</v>
      </c>
      <c r="G180">
        <f>_xlfn.XLOOKUP($C180,Mapping!$D$2:$D$54,Mapping!G$2:G$54)</f>
        <v>-123.11579999999999</v>
      </c>
    </row>
    <row r="181" spans="1:7">
      <c r="A181">
        <v>2019</v>
      </c>
      <c r="B181" s="3" t="str">
        <f>_xlfn.XLOOKUP(C181,Mapping!$A$2:$A$54,Mapping!$B$2:$B$54)</f>
        <v>Expo Line</v>
      </c>
      <c r="C181" t="s">
        <v>20</v>
      </c>
      <c r="D181">
        <v>4722245</v>
      </c>
      <c r="E181" t="str">
        <f>_xlfn.XLOOKUP(C181,Mapping!$D$2:$D$54,Mapping!$E$2:$E$54)</f>
        <v>Surrey</v>
      </c>
      <c r="F181">
        <f>_xlfn.XLOOKUP($C181,Mapping!$D$2:$D$54,Mapping!F$2:F$54)</f>
        <v>49.182699999999997</v>
      </c>
      <c r="G181">
        <f>_xlfn.XLOOKUP($C181,Mapping!$D$2:$D$54,Mapping!G$2:G$54)</f>
        <v>-122.8451</v>
      </c>
    </row>
    <row r="182" spans="1:7">
      <c r="A182">
        <v>2019</v>
      </c>
      <c r="B182" s="3" t="str">
        <f>_xlfn.XLOOKUP(C182,Mapping!$A$2:$A$54,Mapping!$B$2:$B$54)</f>
        <v>Millennium Line</v>
      </c>
      <c r="C182" t="s">
        <v>21</v>
      </c>
      <c r="D182">
        <v>935249</v>
      </c>
      <c r="E182" t="str">
        <f>_xlfn.XLOOKUP(C182,Mapping!$D$2:$D$54,Mapping!$E$2:$E$54)</f>
        <v>Coquitlam</v>
      </c>
      <c r="F182">
        <f>_xlfn.XLOOKUP($C182,Mapping!$D$2:$D$54,Mapping!F$2:F$54)</f>
        <v>49.284700000000001</v>
      </c>
      <c r="G182">
        <f>_xlfn.XLOOKUP($C182,Mapping!$D$2:$D$54,Mapping!G$2:G$54)</f>
        <v>-122.78360000000001</v>
      </c>
    </row>
    <row r="183" spans="1:7">
      <c r="A183">
        <v>2019</v>
      </c>
      <c r="B183" s="3" t="str">
        <f>_xlfn.XLOOKUP(C183,Mapping!$A$2:$A$54,Mapping!$B$2:$B$54)</f>
        <v>Millennium Line</v>
      </c>
      <c r="C183" t="s">
        <v>22</v>
      </c>
      <c r="D183">
        <v>384184</v>
      </c>
      <c r="E183" t="str">
        <f>_xlfn.XLOOKUP(C183,Mapping!$D$2:$D$54,Mapping!$E$2:$E$54)</f>
        <v>Burnaby</v>
      </c>
      <c r="F183">
        <f>_xlfn.XLOOKUP($C183,Mapping!$D$2:$D$54,Mapping!F$2:F$54)</f>
        <v>49.254600000000003</v>
      </c>
      <c r="G183">
        <f>_xlfn.XLOOKUP($C183,Mapping!$D$2:$D$54,Mapping!G$2:G$54)</f>
        <v>-122.93770000000001</v>
      </c>
    </row>
    <row r="184" spans="1:7">
      <c r="A184">
        <v>2019</v>
      </c>
      <c r="B184" s="3" t="str">
        <f>_xlfn.XLOOKUP(C184,Mapping!$A$2:$A$54,Mapping!$B$2:$B$54)</f>
        <v>Canada Line</v>
      </c>
      <c r="C184" t="s">
        <v>46</v>
      </c>
      <c r="D184">
        <v>2686794</v>
      </c>
      <c r="E184" t="str">
        <f>_xlfn.XLOOKUP(C184,Mapping!$D$2:$D$54,Mapping!$E$2:$E$54)</f>
        <v>Vancouver</v>
      </c>
      <c r="F184">
        <f>_xlfn.XLOOKUP($C184,Mapping!$D$2:$D$54,Mapping!F$2:F$54)</f>
        <v>49.226300000000002</v>
      </c>
      <c r="G184">
        <f>_xlfn.XLOOKUP($C184,Mapping!$D$2:$D$54,Mapping!G$2:G$54)</f>
        <v>-123.1161</v>
      </c>
    </row>
    <row r="185" spans="1:7">
      <c r="A185">
        <v>2019</v>
      </c>
      <c r="B185" s="3" t="str">
        <f>_xlfn.XLOOKUP(C185,Mapping!$A$2:$A$54,Mapping!$B$2:$B$54)</f>
        <v>Canada Line</v>
      </c>
      <c r="C185" t="s">
        <v>23</v>
      </c>
      <c r="D185">
        <v>1663417</v>
      </c>
      <c r="E185" t="str">
        <f>_xlfn.XLOOKUP(C185,Mapping!$D$2:$D$54,Mapping!$E$2:$E$54)</f>
        <v>Richmond</v>
      </c>
      <c r="F185">
        <f>_xlfn.XLOOKUP($C185,Mapping!$D$2:$D$54,Mapping!F$2:F$54)</f>
        <v>49.174700000000001</v>
      </c>
      <c r="G185">
        <f>_xlfn.XLOOKUP($C185,Mapping!$D$2:$D$54,Mapping!G$2:G$54)</f>
        <v>-123.1362</v>
      </c>
    </row>
    <row r="186" spans="1:7">
      <c r="A186">
        <v>2019</v>
      </c>
      <c r="B186" s="3" t="str">
        <f>_xlfn.XLOOKUP(C186,Mapping!$A$2:$A$54,Mapping!$B$2:$B$54)</f>
        <v>Millennium Line</v>
      </c>
      <c r="C186" t="s">
        <v>24</v>
      </c>
      <c r="D186">
        <v>1394719</v>
      </c>
      <c r="E186" t="str">
        <f>_xlfn.XLOOKUP(C186,Mapping!$D$2:$D$54,Mapping!$E$2:$E$54)</f>
        <v>Coquitlam</v>
      </c>
      <c r="F186">
        <f>_xlfn.XLOOKUP($C186,Mapping!$D$2:$D$54,Mapping!F$2:F$54)</f>
        <v>49.28</v>
      </c>
      <c r="G186">
        <f>_xlfn.XLOOKUP($C186,Mapping!$D$2:$D$54,Mapping!G$2:G$54)</f>
        <v>-122.7933</v>
      </c>
    </row>
    <row r="187" spans="1:7">
      <c r="A187">
        <v>2019</v>
      </c>
      <c r="B187" s="3" t="str">
        <f>_xlfn.XLOOKUP(C187,Mapping!$A$2:$A$54,Mapping!$B$2:$B$54)</f>
        <v>Expo / Millennium Line</v>
      </c>
      <c r="C187" t="s">
        <v>25</v>
      </c>
      <c r="D187">
        <v>4143692</v>
      </c>
      <c r="E187" t="str">
        <f>_xlfn.XLOOKUP(C187,Mapping!$D$2:$D$54,Mapping!$E$2:$E$54)</f>
        <v>Burnaby</v>
      </c>
      <c r="F187">
        <f>_xlfn.XLOOKUP($C187,Mapping!$D$2:$D$54,Mapping!F$2:F$54)</f>
        <v>49.2483</v>
      </c>
      <c r="G187">
        <f>_xlfn.XLOOKUP($C187,Mapping!$D$2:$D$54,Mapping!G$2:G$54)</f>
        <v>-122.89700000000001</v>
      </c>
    </row>
    <row r="188" spans="1:7">
      <c r="A188">
        <v>2019</v>
      </c>
      <c r="B188" s="3" t="str">
        <f>_xlfn.XLOOKUP(C188,Mapping!$A$2:$A$54,Mapping!$B$2:$B$54)</f>
        <v>Expo Line</v>
      </c>
      <c r="C188" t="s">
        <v>47</v>
      </c>
      <c r="D188">
        <v>4955600</v>
      </c>
      <c r="E188" t="str">
        <f>_xlfn.XLOOKUP(C188,Mapping!$D$2:$D$54,Mapping!$E$2:$E$54)</f>
        <v>Vancouver</v>
      </c>
      <c r="F188">
        <f>_xlfn.XLOOKUP($C188,Mapping!$D$2:$D$54,Mapping!F$2:F$54)</f>
        <v>49.273200000000003</v>
      </c>
      <c r="G188">
        <f>_xlfn.XLOOKUP($C188,Mapping!$D$2:$D$54,Mapping!G$2:G$54)</f>
        <v>-123.1003</v>
      </c>
    </row>
    <row r="189" spans="1:7">
      <c r="A189">
        <v>2019</v>
      </c>
      <c r="B189" s="3" t="str">
        <f>_xlfn.XLOOKUP(C189,Mapping!$A$2:$A$54,Mapping!$B$2:$B$54)</f>
        <v>Canada Line</v>
      </c>
      <c r="C189" t="s">
        <v>26</v>
      </c>
      <c r="D189">
        <v>3753826</v>
      </c>
      <c r="E189" t="str">
        <f>_xlfn.XLOOKUP(C189,Mapping!$D$2:$D$54,Mapping!$E$2:$E$54)</f>
        <v>Vancouver</v>
      </c>
      <c r="F189">
        <f>_xlfn.XLOOKUP($C189,Mapping!$D$2:$D$54,Mapping!F$2:F$54)</f>
        <v>49.209800000000001</v>
      </c>
      <c r="G189">
        <f>_xlfn.XLOOKUP($C189,Mapping!$D$2:$D$54,Mapping!G$2:G$54)</f>
        <v>-123.1174</v>
      </c>
    </row>
    <row r="190" spans="1:7">
      <c r="A190">
        <v>2019</v>
      </c>
      <c r="B190" s="3" t="str">
        <f>_xlfn.XLOOKUP(C190,Mapping!$A$2:$A$54,Mapping!$B$2:$B$54)</f>
        <v>Expo Line</v>
      </c>
      <c r="C190" t="s">
        <v>27</v>
      </c>
      <c r="D190">
        <v>8904549</v>
      </c>
      <c r="E190" t="str">
        <f>_xlfn.XLOOKUP(C190,Mapping!$D$2:$D$54,Mapping!$E$2:$E$54)</f>
        <v>Burnaby</v>
      </c>
      <c r="F190">
        <f>_xlfn.XLOOKUP($C190,Mapping!$D$2:$D$54,Mapping!F$2:F$54)</f>
        <v>49.225700000000003</v>
      </c>
      <c r="G190">
        <f>_xlfn.XLOOKUP($C190,Mapping!$D$2:$D$54,Mapping!G$2:G$54)</f>
        <v>-123.0039</v>
      </c>
    </row>
    <row r="191" spans="1:7">
      <c r="A191">
        <v>2019</v>
      </c>
      <c r="B191" s="3" t="str">
        <f>_xlfn.XLOOKUP(C191,Mapping!$A$2:$A$54,Mapping!$B$2:$B$54)</f>
        <v>Millennium Line</v>
      </c>
      <c r="C191" t="s">
        <v>28</v>
      </c>
      <c r="D191">
        <v>804711</v>
      </c>
      <c r="E191" t="str">
        <f>_xlfn.XLOOKUP(C191,Mapping!$D$2:$D$54,Mapping!$E$2:$E$54)</f>
        <v>Port Moody</v>
      </c>
      <c r="F191">
        <f>_xlfn.XLOOKUP($C191,Mapping!$D$2:$D$54,Mapping!F$2:F$54)</f>
        <v>49.278300000000002</v>
      </c>
      <c r="G191">
        <f>_xlfn.XLOOKUP($C191,Mapping!$D$2:$D$54,Mapping!G$2:G$54)</f>
        <v>-122.845</v>
      </c>
    </row>
    <row r="192" spans="1:7">
      <c r="A192">
        <v>2019</v>
      </c>
      <c r="B192" s="3" t="str">
        <f>_xlfn.XLOOKUP(C192,Mapping!$A$2:$A$54,Mapping!$B$2:$B$54)</f>
        <v>Expo Line</v>
      </c>
      <c r="C192" t="s">
        <v>29</v>
      </c>
      <c r="D192">
        <v>2278961</v>
      </c>
      <c r="E192" t="str">
        <f>_xlfn.XLOOKUP(C192,Mapping!$D$2:$D$54,Mapping!$E$2:$E$54)</f>
        <v>Vancouver</v>
      </c>
      <c r="F192">
        <f>_xlfn.XLOOKUP($C192,Mapping!$D$2:$D$54,Mapping!F$2:F$54)</f>
        <v>49.2483</v>
      </c>
      <c r="G192">
        <f>_xlfn.XLOOKUP($C192,Mapping!$D$2:$D$54,Mapping!G$2:G$54)</f>
        <v>-123.05589999999999</v>
      </c>
    </row>
    <row r="193" spans="1:7">
      <c r="A193">
        <v>2019</v>
      </c>
      <c r="B193" s="3" t="str">
        <f>_xlfn.XLOOKUP(C193,Mapping!$A$2:$A$54,Mapping!$B$2:$B$54)</f>
        <v>Expo Line</v>
      </c>
      <c r="C193" t="s">
        <v>30</v>
      </c>
      <c r="D193">
        <v>5227146</v>
      </c>
      <c r="E193" t="str">
        <f>_xlfn.XLOOKUP(C193,Mapping!$D$2:$D$54,Mapping!$E$2:$E$54)</f>
        <v>New Westminster</v>
      </c>
      <c r="F193">
        <f>_xlfn.XLOOKUP($C193,Mapping!$D$2:$D$54,Mapping!F$2:F$54)</f>
        <v>49.201500000000003</v>
      </c>
      <c r="G193">
        <f>_xlfn.XLOOKUP($C193,Mapping!$D$2:$D$54,Mapping!G$2:G$54)</f>
        <v>-122.9126</v>
      </c>
    </row>
    <row r="194" spans="1:7">
      <c r="A194">
        <v>2019</v>
      </c>
      <c r="B194" s="3" t="str">
        <f>_xlfn.XLOOKUP(C194,Mapping!$A$2:$A$54,Mapping!$B$2:$B$54)</f>
        <v>Canada Line</v>
      </c>
      <c r="C194" t="s">
        <v>48</v>
      </c>
      <c r="D194">
        <v>2835504</v>
      </c>
      <c r="E194" t="str">
        <f>_xlfn.XLOOKUP(C194,Mapping!$D$2:$D$54,Mapping!$E$2:$E$54)</f>
        <v>Vancouver</v>
      </c>
      <c r="F194">
        <f>_xlfn.XLOOKUP($C194,Mapping!$D$2:$D$54,Mapping!F$2:F$54)</f>
        <v>49.232999999999997</v>
      </c>
      <c r="G194">
        <f>_xlfn.XLOOKUP($C194,Mapping!$D$2:$D$54,Mapping!G$2:G$54)</f>
        <v>-123.1161</v>
      </c>
    </row>
    <row r="195" spans="1:7">
      <c r="A195">
        <v>2019</v>
      </c>
      <c r="B195" s="3" t="str">
        <f>_xlfn.XLOOKUP(C195,Mapping!$A$2:$A$54,Mapping!$B$2:$B$54)</f>
        <v>Canada Line</v>
      </c>
      <c r="C195" t="s">
        <v>31</v>
      </c>
      <c r="D195">
        <v>1710354</v>
      </c>
      <c r="E195" t="str">
        <f>_xlfn.XLOOKUP(C195,Mapping!$D$2:$D$54,Mapping!$E$2:$E$54)</f>
        <v>Vancouver</v>
      </c>
      <c r="F195">
        <f>_xlfn.XLOOKUP($C195,Mapping!$D$2:$D$54,Mapping!F$2:F$54)</f>
        <v>49.266500000000001</v>
      </c>
      <c r="G195">
        <f>_xlfn.XLOOKUP($C195,Mapping!$D$2:$D$54,Mapping!G$2:G$54)</f>
        <v>-123.1156</v>
      </c>
    </row>
    <row r="196" spans="1:7">
      <c r="A196">
        <v>2019</v>
      </c>
      <c r="B196" s="3" t="str">
        <f>_xlfn.XLOOKUP(C196,Mapping!$A$2:$A$54,Mapping!$B$2:$B$54)</f>
        <v>Expo Line</v>
      </c>
      <c r="C196" t="s">
        <v>32</v>
      </c>
      <c r="D196">
        <v>1606383</v>
      </c>
      <c r="E196" t="str">
        <f>_xlfn.XLOOKUP(C196,Mapping!$D$2:$D$54,Mapping!$E$2:$E$54)</f>
        <v>Burnaby</v>
      </c>
      <c r="F196">
        <f>_xlfn.XLOOKUP($C196,Mapping!$D$2:$D$54,Mapping!F$2:F$54)</f>
        <v>49.229700000000001</v>
      </c>
      <c r="G196">
        <f>_xlfn.XLOOKUP($C196,Mapping!$D$2:$D$54,Mapping!G$2:G$54)</f>
        <v>-123.01260000000001</v>
      </c>
    </row>
    <row r="197" spans="1:7">
      <c r="A197">
        <v>2019</v>
      </c>
      <c r="B197" s="3" t="str">
        <f>_xlfn.XLOOKUP(C197,Mapping!$A$2:$A$54,Mapping!$B$2:$B$54)</f>
        <v>Expo / Millennium Line</v>
      </c>
      <c r="C197" t="s">
        <v>49</v>
      </c>
      <c r="D197">
        <v>1860914</v>
      </c>
      <c r="E197" t="str">
        <f>_xlfn.XLOOKUP(C197,Mapping!$D$2:$D$54,Mapping!$E$2:$E$54)</f>
        <v>Burnaby</v>
      </c>
      <c r="F197">
        <f>_xlfn.XLOOKUP($C197,Mapping!$D$2:$D$54,Mapping!F$2:F$54)</f>
        <v>49.253300000000003</v>
      </c>
      <c r="G197">
        <f>_xlfn.XLOOKUP($C197,Mapping!$D$2:$D$54,Mapping!G$2:G$54)</f>
        <v>-122.91800000000001</v>
      </c>
    </row>
    <row r="198" spans="1:7">
      <c r="A198">
        <v>2019</v>
      </c>
      <c r="B198" s="3" t="str">
        <f>_xlfn.XLOOKUP(C198,Mapping!$A$2:$A$54,Mapping!$B$2:$B$54)</f>
        <v>Millennium Line</v>
      </c>
      <c r="C198" t="s">
        <v>33</v>
      </c>
      <c r="D198">
        <v>1351762</v>
      </c>
      <c r="E198" t="str">
        <f>_xlfn.XLOOKUP(C198,Mapping!$D$2:$D$54,Mapping!$E$2:$E$54)</f>
        <v>Vancouver</v>
      </c>
      <c r="F198">
        <f>_xlfn.XLOOKUP($C198,Mapping!$D$2:$D$54,Mapping!F$2:F$54)</f>
        <v>49.258800000000001</v>
      </c>
      <c r="G198">
        <f>_xlfn.XLOOKUP($C198,Mapping!$D$2:$D$54,Mapping!G$2:G$54)</f>
        <v>-123.0453</v>
      </c>
    </row>
    <row r="199" spans="1:7">
      <c r="A199">
        <v>2019</v>
      </c>
      <c r="B199" s="3" t="str">
        <f>_xlfn.XLOOKUP(C199,Mapping!$A$2:$A$54,Mapping!$B$2:$B$54)</f>
        <v>Canada Line</v>
      </c>
      <c r="C199" t="s">
        <v>50</v>
      </c>
      <c r="D199">
        <v>4104644</v>
      </c>
      <c r="E199" t="str">
        <f>_xlfn.XLOOKUP(C199,Mapping!$D$2:$D$54,Mapping!$E$2:$E$54)</f>
        <v>Richmond</v>
      </c>
      <c r="F199">
        <f>_xlfn.XLOOKUP($C199,Mapping!$D$2:$D$54,Mapping!F$2:F$54)</f>
        <v>49.168100000000003</v>
      </c>
      <c r="G199">
        <f>_xlfn.XLOOKUP($C199,Mapping!$D$2:$D$54,Mapping!G$2:G$54)</f>
        <v>-123.1362</v>
      </c>
    </row>
    <row r="200" spans="1:7">
      <c r="A200">
        <v>2019</v>
      </c>
      <c r="B200" s="3" t="str">
        <f>_xlfn.XLOOKUP(C200,Mapping!$A$2:$A$54,Mapping!$B$2:$B$54)</f>
        <v>Expo Line</v>
      </c>
      <c r="C200" t="s">
        <v>34</v>
      </c>
      <c r="D200">
        <v>1901887</v>
      </c>
      <c r="E200" t="str">
        <f>_xlfn.XLOOKUP(C200,Mapping!$D$2:$D$54,Mapping!$E$2:$E$54)</f>
        <v>Burnaby</v>
      </c>
      <c r="F200">
        <f>_xlfn.XLOOKUP($C200,Mapping!$D$2:$D$54,Mapping!F$2:F$54)</f>
        <v>49.220100000000002</v>
      </c>
      <c r="G200">
        <f>_xlfn.XLOOKUP($C200,Mapping!$D$2:$D$54,Mapping!G$2:G$54)</f>
        <v>-122.9884</v>
      </c>
    </row>
    <row r="201" spans="1:7">
      <c r="A201">
        <v>2019</v>
      </c>
      <c r="B201" s="3" t="str">
        <f>_xlfn.XLOOKUP(C201,Mapping!$A$2:$A$54,Mapping!$B$2:$B$54)</f>
        <v>Millennium Line</v>
      </c>
      <c r="C201" t="s">
        <v>35</v>
      </c>
      <c r="D201">
        <v>974512</v>
      </c>
      <c r="E201" t="str">
        <f>_xlfn.XLOOKUP(C201,Mapping!$D$2:$D$54,Mapping!$E$2:$E$54)</f>
        <v>Vancouver</v>
      </c>
      <c r="F201">
        <f>_xlfn.XLOOKUP($C201,Mapping!$D$2:$D$54,Mapping!F$2:F$54)</f>
        <v>49.258800000000001</v>
      </c>
      <c r="G201">
        <f>_xlfn.XLOOKUP($C201,Mapping!$D$2:$D$54,Mapping!G$2:G$54)</f>
        <v>-123.02670000000001</v>
      </c>
    </row>
    <row r="202" spans="1:7">
      <c r="A202">
        <v>2019</v>
      </c>
      <c r="B202" s="3" t="str">
        <f>_xlfn.XLOOKUP(C202,Mapping!$A$2:$A$54,Mapping!$B$2:$B$54)</f>
        <v>Expo Line</v>
      </c>
      <c r="C202" t="s">
        <v>36</v>
      </c>
      <c r="D202">
        <v>992237</v>
      </c>
      <c r="E202" t="str">
        <f>_xlfn.XLOOKUP(C202,Mapping!$D$2:$D$54,Mapping!$E$2:$E$54)</f>
        <v>New Westminster</v>
      </c>
      <c r="F202">
        <f>_xlfn.XLOOKUP($C202,Mapping!$D$2:$D$54,Mapping!F$2:F$54)</f>
        <v>49.2254</v>
      </c>
      <c r="G202">
        <f>_xlfn.XLOOKUP($C202,Mapping!$D$2:$D$54,Mapping!G$2:G$54)</f>
        <v>-122.88639999999999</v>
      </c>
    </row>
    <row r="203" spans="1:7">
      <c r="A203">
        <v>2019</v>
      </c>
      <c r="B203" s="3" t="str">
        <f>_xlfn.XLOOKUP(C203,Mapping!$A$2:$A$54,Mapping!$B$2:$B$54)</f>
        <v>Expo Line</v>
      </c>
      <c r="C203" t="s">
        <v>37</v>
      </c>
      <c r="D203">
        <v>3299803</v>
      </c>
      <c r="E203" t="str">
        <f>_xlfn.XLOOKUP(C203,Mapping!$D$2:$D$54,Mapping!$E$2:$E$54)</f>
        <v>Surrey</v>
      </c>
      <c r="F203">
        <f>_xlfn.XLOOKUP($C203,Mapping!$D$2:$D$54,Mapping!F$2:F$54)</f>
        <v>49.2044</v>
      </c>
      <c r="G203">
        <f>_xlfn.XLOOKUP($C203,Mapping!$D$2:$D$54,Mapping!G$2:G$54)</f>
        <v>-122.87430000000001</v>
      </c>
    </row>
    <row r="204" spans="1:7">
      <c r="A204">
        <v>2019</v>
      </c>
      <c r="B204" s="3" t="str">
        <f>_xlfn.XLOOKUP(C204,Mapping!$A$2:$A$54,Mapping!$B$2:$B$54)</f>
        <v>Canada Line</v>
      </c>
      <c r="C204" t="s">
        <v>38</v>
      </c>
      <c r="D204">
        <v>326892</v>
      </c>
      <c r="E204" t="str">
        <f>_xlfn.XLOOKUP(C204,Mapping!$D$2:$D$54,Mapping!$E$2:$E$54)</f>
        <v>Richmond</v>
      </c>
      <c r="F204">
        <f>_xlfn.XLOOKUP($C204,Mapping!$D$2:$D$54,Mapping!F$2:F$54)</f>
        <v>49.193100000000001</v>
      </c>
      <c r="G204">
        <f>_xlfn.XLOOKUP($C204,Mapping!$D$2:$D$54,Mapping!G$2:G$54)</f>
        <v>-123.1553</v>
      </c>
    </row>
    <row r="205" spans="1:7">
      <c r="A205">
        <v>2019</v>
      </c>
      <c r="B205" s="3" t="str">
        <f>_xlfn.XLOOKUP(C205,Mapping!$A$2:$A$54,Mapping!$B$2:$B$54)</f>
        <v>Millennium Line</v>
      </c>
      <c r="C205" t="s">
        <v>51</v>
      </c>
      <c r="D205">
        <v>665763</v>
      </c>
      <c r="E205" t="str">
        <f>_xlfn.XLOOKUP(C205,Mapping!$D$2:$D$54,Mapping!$E$2:$E$54)</f>
        <v>Burnaby</v>
      </c>
      <c r="F205">
        <f>_xlfn.XLOOKUP($C205,Mapping!$D$2:$D$54,Mapping!F$2:F$54)</f>
        <v>49.2592</v>
      </c>
      <c r="G205">
        <f>_xlfn.XLOOKUP($C205,Mapping!$D$2:$D$54,Mapping!G$2:G$54)</f>
        <v>-122.96420000000001</v>
      </c>
    </row>
    <row r="206" spans="1:7">
      <c r="A206">
        <v>2019</v>
      </c>
      <c r="B206" s="3" t="str">
        <f>_xlfn.XLOOKUP(C206,Mapping!$A$2:$A$54,Mapping!$B$2:$B$54)</f>
        <v>Expo Line</v>
      </c>
      <c r="C206" t="s">
        <v>52</v>
      </c>
      <c r="D206">
        <v>5621549</v>
      </c>
      <c r="E206" t="str">
        <f>_xlfn.XLOOKUP(C206,Mapping!$D$2:$D$54,Mapping!$E$2:$E$54)</f>
        <v>Vancouver</v>
      </c>
      <c r="F206">
        <f>_xlfn.XLOOKUP($C206,Mapping!$D$2:$D$54,Mapping!F$2:F$54)</f>
        <v>49.279600000000002</v>
      </c>
      <c r="G206">
        <f>_xlfn.XLOOKUP($C206,Mapping!$D$2:$D$54,Mapping!G$2:G$54)</f>
        <v>-123.10980000000001</v>
      </c>
    </row>
    <row r="207" spans="1:7">
      <c r="A207">
        <v>2019</v>
      </c>
      <c r="B207" s="3" t="str">
        <f>_xlfn.XLOOKUP(C207,Mapping!$A$2:$A$54,Mapping!$B$2:$B$54)</f>
        <v>Expo Line</v>
      </c>
      <c r="C207" t="s">
        <v>39</v>
      </c>
      <c r="D207">
        <v>4522398</v>
      </c>
      <c r="E207" t="str">
        <f>_xlfn.XLOOKUP(C207,Mapping!$D$2:$D$54,Mapping!$E$2:$E$54)</f>
        <v>Surrey</v>
      </c>
      <c r="F207">
        <f>_xlfn.XLOOKUP($C207,Mapping!$D$2:$D$54,Mapping!F$2:F$54)</f>
        <v>49.189599999999999</v>
      </c>
      <c r="G207">
        <f>_xlfn.XLOOKUP($C207,Mapping!$D$2:$D$54,Mapping!G$2:G$54)</f>
        <v>-122.8479</v>
      </c>
    </row>
    <row r="208" spans="1:7">
      <c r="A208">
        <v>2019</v>
      </c>
      <c r="B208" s="3" t="str">
        <f>_xlfn.XLOOKUP(C208,Mapping!$A$2:$A$54,Mapping!$B$2:$B$54)</f>
        <v>Canada Line</v>
      </c>
      <c r="C208" t="s">
        <v>40</v>
      </c>
      <c r="D208">
        <v>1315463</v>
      </c>
      <c r="E208" t="str">
        <f>_xlfn.XLOOKUP(C208,Mapping!$D$2:$D$54,Mapping!$E$2:$E$54)</f>
        <v>Richmond</v>
      </c>
      <c r="F208">
        <f>_xlfn.XLOOKUP($C208,Mapping!$D$2:$D$54,Mapping!F$2:F$54)</f>
        <v>49.196300000000001</v>
      </c>
      <c r="G208">
        <f>_xlfn.XLOOKUP($C208,Mapping!$D$2:$D$54,Mapping!G$2:G$54)</f>
        <v>-123.1465</v>
      </c>
    </row>
    <row r="209" spans="1:7">
      <c r="A209">
        <v>2019</v>
      </c>
      <c r="B209" s="3" t="str">
        <f>_xlfn.XLOOKUP(C209,Mapping!$A$2:$A$54,Mapping!$B$2:$B$54)</f>
        <v>Canada Line</v>
      </c>
      <c r="C209" t="s">
        <v>41</v>
      </c>
      <c r="D209">
        <v>6257724</v>
      </c>
      <c r="E209" t="str">
        <f>_xlfn.XLOOKUP(C209,Mapping!$D$2:$D$54,Mapping!$E$2:$E$54)</f>
        <v>Vancouver</v>
      </c>
      <c r="F209">
        <f>_xlfn.XLOOKUP($C209,Mapping!$D$2:$D$54,Mapping!F$2:F$54)</f>
        <v>49.282499999999999</v>
      </c>
      <c r="G209">
        <f>_xlfn.XLOOKUP($C209,Mapping!$D$2:$D$54,Mapping!G$2:G$54)</f>
        <v>-123.1185</v>
      </c>
    </row>
    <row r="210" spans="1:7">
      <c r="A210">
        <v>2019</v>
      </c>
      <c r="B210" s="3" t="str">
        <f>_xlfn.XLOOKUP(C210,Mapping!$A$2:$A$54,Mapping!$B$2:$B$54)</f>
        <v>Millennium Line</v>
      </c>
      <c r="C210" t="s">
        <v>53</v>
      </c>
      <c r="D210">
        <v>1058982</v>
      </c>
      <c r="E210" t="str">
        <f>_xlfn.XLOOKUP(C210,Mapping!$D$2:$D$54,Mapping!$E$2:$E$54)</f>
        <v>Vancouver</v>
      </c>
      <c r="F210">
        <f>_xlfn.XLOOKUP($C210,Mapping!$D$2:$D$54,Mapping!F$2:F$54)</f>
        <v>49.265799999999999</v>
      </c>
      <c r="G210">
        <f>_xlfn.XLOOKUP($C210,Mapping!$D$2:$D$54,Mapping!G$2:G$54)</f>
        <v>-123.0792</v>
      </c>
    </row>
    <row r="211" spans="1:7">
      <c r="A211">
        <v>2019</v>
      </c>
      <c r="B211" s="3" t="str">
        <f>_xlfn.XLOOKUP(C211,Mapping!$A$2:$A$54,Mapping!$B$2:$B$54)</f>
        <v>Expo / Canada Line</v>
      </c>
      <c r="C211" t="s">
        <v>42</v>
      </c>
      <c r="D211">
        <v>13271047</v>
      </c>
      <c r="E211" t="str">
        <f>_xlfn.XLOOKUP(C211,Mapping!$D$2:$D$54,Mapping!$E$2:$E$54)</f>
        <v>Vancouver</v>
      </c>
      <c r="F211">
        <f>_xlfn.XLOOKUP($C211,Mapping!$D$2:$D$54,Mapping!F$2:F$54)</f>
        <v>49.285899999999998</v>
      </c>
      <c r="G211">
        <f>_xlfn.XLOOKUP($C211,Mapping!$D$2:$D$54,Mapping!G$2:G$54)</f>
        <v>-123.1118</v>
      </c>
    </row>
    <row r="212" spans="1:7">
      <c r="A212">
        <v>2019</v>
      </c>
      <c r="B212" s="3" t="str">
        <f>_xlfn.XLOOKUP(C212,Mapping!$A$2:$A$54,Mapping!$B$2:$B$54)</f>
        <v>Canada Line</v>
      </c>
      <c r="C212" t="s">
        <v>54</v>
      </c>
      <c r="D212">
        <v>3722283</v>
      </c>
      <c r="E212" t="str">
        <f>_xlfn.XLOOKUP(C212,Mapping!$D$2:$D$54,Mapping!$E$2:$E$54)</f>
        <v>Vancouver</v>
      </c>
      <c r="F212">
        <f>_xlfn.XLOOKUP($C212,Mapping!$D$2:$D$54,Mapping!F$2:F$54)</f>
        <v>49.274500000000003</v>
      </c>
      <c r="G212">
        <f>_xlfn.XLOOKUP($C212,Mapping!$D$2:$D$54,Mapping!G$2:G$54)</f>
        <v>-123.1219</v>
      </c>
    </row>
    <row r="213" spans="1:7">
      <c r="A213">
        <v>2019</v>
      </c>
      <c r="B213" s="3" t="str">
        <f>_xlfn.XLOOKUP(C213,Mapping!$A$2:$A$54,Mapping!$B$2:$B$54)</f>
        <v>Canada Line</v>
      </c>
      <c r="C213" t="s">
        <v>55</v>
      </c>
      <c r="D213">
        <v>3139230</v>
      </c>
      <c r="E213" t="str">
        <f>_xlfn.XLOOKUP(C213,Mapping!$D$2:$D$54,Mapping!$E$2:$E$54)</f>
        <v>Richmond</v>
      </c>
      <c r="F213">
        <f>_xlfn.XLOOKUP($C213,Mapping!$D$2:$D$54,Mapping!F$2:F$54)</f>
        <v>49.193899999999999</v>
      </c>
      <c r="G213">
        <f>_xlfn.XLOOKUP($C213,Mapping!$D$2:$D$54,Mapping!G$2:G$54)</f>
        <v>-123.1765</v>
      </c>
    </row>
    <row r="214" spans="1:7">
      <c r="A214">
        <v>2022</v>
      </c>
      <c r="B214" s="3" t="str">
        <f>_xlfn.XLOOKUP(C214,Mapping!$A$2:$A$54,Mapping!$B$2:$B$54)</f>
        <v>Expo Line</v>
      </c>
      <c r="C214" t="s">
        <v>3</v>
      </c>
      <c r="D214">
        <v>2774571</v>
      </c>
      <c r="E214" t="str">
        <f>_xlfn.XLOOKUP(C214,Mapping!$D$2:$D$54,Mapping!$E$2:$E$54)</f>
        <v>New Westminster</v>
      </c>
      <c r="F214">
        <f>_xlfn.XLOOKUP($C214,Mapping!$D$2:$D$54,Mapping!F$2:F$54)</f>
        <v>49.2</v>
      </c>
      <c r="G214">
        <f>_xlfn.XLOOKUP($C214,Mapping!$D$2:$D$54,Mapping!G$2:G$54)</f>
        <v>-122.949</v>
      </c>
    </row>
    <row r="215" spans="1:7">
      <c r="A215">
        <v>2022</v>
      </c>
      <c r="B215" s="3" t="str">
        <f>_xlfn.XLOOKUP(C215,Mapping!$A$2:$A$54,Mapping!$B$2:$B$54)</f>
        <v>Expo Line</v>
      </c>
      <c r="C215" t="s">
        <v>4</v>
      </c>
      <c r="D215">
        <v>1880072</v>
      </c>
      <c r="E215" t="str">
        <f>_xlfn.XLOOKUP(C215,Mapping!$D$2:$D$54,Mapping!$E$2:$E$54)</f>
        <v>Vancouver</v>
      </c>
      <c r="F215">
        <f>_xlfn.XLOOKUP($C215,Mapping!$D$2:$D$54,Mapping!F$2:F$54)</f>
        <v>49.244300000000003</v>
      </c>
      <c r="G215">
        <f>_xlfn.XLOOKUP($C215,Mapping!$D$2:$D$54,Mapping!G$2:G$54)</f>
        <v>-123.045</v>
      </c>
    </row>
    <row r="216" spans="1:7">
      <c r="A216">
        <v>2022</v>
      </c>
      <c r="B216" s="3" t="str">
        <f>_xlfn.XLOOKUP(C216,Mapping!$A$2:$A$54,Mapping!$B$2:$B$54)</f>
        <v>Canada Line</v>
      </c>
      <c r="C216" t="s">
        <v>5</v>
      </c>
      <c r="D216">
        <v>1066031</v>
      </c>
      <c r="E216" t="str">
        <f>_xlfn.XLOOKUP(C216,Mapping!$D$2:$D$54,Mapping!$E$2:$E$54)</f>
        <v>Richmond</v>
      </c>
      <c r="F216">
        <f>_xlfn.XLOOKUP($C216,Mapping!$D$2:$D$54,Mapping!F$2:F$54)</f>
        <v>49.1843</v>
      </c>
      <c r="G216">
        <f>_xlfn.XLOOKUP($C216,Mapping!$D$2:$D$54,Mapping!G$2:G$54)</f>
        <v>-123.1362</v>
      </c>
    </row>
    <row r="217" spans="1:7">
      <c r="A217">
        <v>2022</v>
      </c>
      <c r="B217" s="3" t="str">
        <f>_xlfn.XLOOKUP(C217,Mapping!$A$2:$A$54,Mapping!$B$2:$B$54)</f>
        <v>Expo Line</v>
      </c>
      <c r="C217" t="s">
        <v>6</v>
      </c>
      <c r="D217">
        <v>1034711</v>
      </c>
      <c r="E217" t="str">
        <f>_xlfn.XLOOKUP(C217,Mapping!$D$2:$D$54,Mapping!$E$2:$E$54)</f>
        <v>New Westminster</v>
      </c>
      <c r="F217">
        <f>_xlfn.XLOOKUP($C217,Mapping!$D$2:$D$54,Mapping!F$2:F$54)</f>
        <v>49.232999999999997</v>
      </c>
      <c r="G217">
        <f>_xlfn.XLOOKUP($C217,Mapping!$D$2:$D$54,Mapping!G$2:G$54)</f>
        <v>-122.8828</v>
      </c>
    </row>
    <row r="218" spans="1:7">
      <c r="A218">
        <v>2022</v>
      </c>
      <c r="B218" s="3" t="str">
        <f>_xlfn.XLOOKUP(C218,Mapping!$A$2:$A$54,Mapping!$B$2:$B$54)</f>
        <v>Millennium Line</v>
      </c>
      <c r="C218" t="s">
        <v>7</v>
      </c>
      <c r="D218">
        <v>1683384</v>
      </c>
      <c r="E218" t="str">
        <f>_xlfn.XLOOKUP(C218,Mapping!$D$2:$D$54,Mapping!$E$2:$E$54)</f>
        <v>Burnaby</v>
      </c>
      <c r="F218">
        <f>_xlfn.XLOOKUP($C218,Mapping!$D$2:$D$54,Mapping!F$2:F$54)</f>
        <v>49.266199999999998</v>
      </c>
      <c r="G218">
        <f>_xlfn.XLOOKUP($C218,Mapping!$D$2:$D$54,Mapping!G$2:G$54)</f>
        <v>-123.0016</v>
      </c>
    </row>
    <row r="219" spans="1:7">
      <c r="A219">
        <v>2022</v>
      </c>
      <c r="B219" s="3" t="str">
        <f>_xlfn.XLOOKUP(C219,Mapping!$A$2:$A$54,Mapping!$B$2:$B$54)</f>
        <v>Canada Line</v>
      </c>
      <c r="C219" t="s">
        <v>8</v>
      </c>
      <c r="D219">
        <v>2535435</v>
      </c>
      <c r="E219" t="str">
        <f>_xlfn.XLOOKUP(C219,Mapping!$D$2:$D$54,Mapping!$E$2:$E$54)</f>
        <v>Richmond</v>
      </c>
      <c r="F219">
        <f>_xlfn.XLOOKUP($C219,Mapping!$D$2:$D$54,Mapping!F$2:F$54)</f>
        <v>49.192500000000003</v>
      </c>
      <c r="G219">
        <f>_xlfn.XLOOKUP($C219,Mapping!$D$2:$D$54,Mapping!G$2:G$54)</f>
        <v>-123.1264</v>
      </c>
    </row>
    <row r="220" spans="1:7">
      <c r="A220">
        <v>2022</v>
      </c>
      <c r="B220" s="3" t="str">
        <f>_xlfn.XLOOKUP(C220,Mapping!$A$2:$A$54,Mapping!$B$2:$B$54)</f>
        <v>Canada Line</v>
      </c>
      <c r="C220" t="s">
        <v>43</v>
      </c>
      <c r="D220">
        <v>2895286</v>
      </c>
      <c r="E220" t="str">
        <f>_xlfn.XLOOKUP(C220,Mapping!$D$2:$D$54,Mapping!$E$2:$E$54)</f>
        <v>Vancouver</v>
      </c>
      <c r="F220">
        <f>_xlfn.XLOOKUP($C220,Mapping!$D$2:$D$54,Mapping!F$2:F$54)</f>
        <v>49.263100000000001</v>
      </c>
      <c r="G220">
        <f>_xlfn.XLOOKUP($C220,Mapping!$D$2:$D$54,Mapping!G$2:G$54)</f>
        <v>-123.1147</v>
      </c>
    </row>
    <row r="221" spans="1:7">
      <c r="A221">
        <v>2022</v>
      </c>
      <c r="B221" s="3" t="str">
        <f>_xlfn.XLOOKUP(C221,Mapping!$A$2:$A$54,Mapping!$B$2:$B$54)</f>
        <v>Millennium Line</v>
      </c>
      <c r="C221" t="s">
        <v>9</v>
      </c>
      <c r="D221">
        <v>1125208</v>
      </c>
      <c r="E221" t="str">
        <f>_xlfn.XLOOKUP(C221,Mapping!$D$2:$D$54,Mapping!$E$2:$E$54)</f>
        <v>Coquitlam</v>
      </c>
      <c r="F221">
        <f>_xlfn.XLOOKUP($C221,Mapping!$D$2:$D$54,Mapping!F$2:F$54)</f>
        <v>49.261800000000001</v>
      </c>
      <c r="G221">
        <f>_xlfn.XLOOKUP($C221,Mapping!$D$2:$D$54,Mapping!G$2:G$54)</f>
        <v>-122.88979999999999</v>
      </c>
    </row>
    <row r="222" spans="1:7">
      <c r="A222">
        <v>2022</v>
      </c>
      <c r="B222" s="3" t="str">
        <f>_xlfn.XLOOKUP(C222,Mapping!$A$2:$A$54,Mapping!$B$2:$B$54)</f>
        <v>Expo Line</v>
      </c>
      <c r="C222" t="s">
        <v>10</v>
      </c>
      <c r="D222">
        <v>4863320</v>
      </c>
      <c r="E222" t="str">
        <f>_xlfn.XLOOKUP(C222,Mapping!$D$2:$D$54,Mapping!$E$2:$E$54)</f>
        <v>Vancouver</v>
      </c>
      <c r="F222">
        <f>_xlfn.XLOOKUP($C222,Mapping!$D$2:$D$54,Mapping!F$2:F$54)</f>
        <v>49.285600000000002</v>
      </c>
      <c r="G222">
        <f>_xlfn.XLOOKUP($C222,Mapping!$D$2:$D$54,Mapping!G$2:G$54)</f>
        <v>-123.1202</v>
      </c>
    </row>
    <row r="223" spans="1:7">
      <c r="A223">
        <v>2022</v>
      </c>
      <c r="B223" s="3" t="str">
        <f>_xlfn.XLOOKUP(C223,Mapping!$A$2:$A$54,Mapping!$B$2:$B$54)</f>
        <v>Expo Line</v>
      </c>
      <c r="C223" t="s">
        <v>11</v>
      </c>
      <c r="D223">
        <v>1147233</v>
      </c>
      <c r="E223" t="str">
        <f>_xlfn.XLOOKUP(C223,Mapping!$D$2:$D$54,Mapping!$E$2:$E$54)</f>
        <v>New Westminster</v>
      </c>
      <c r="F223">
        <f>_xlfn.XLOOKUP($C223,Mapping!$D$2:$D$54,Mapping!F$2:F$54)</f>
        <v>49.204799999999999</v>
      </c>
      <c r="G223">
        <f>_xlfn.XLOOKUP($C223,Mapping!$D$2:$D$54,Mapping!G$2:G$54)</f>
        <v>-122.9061</v>
      </c>
    </row>
    <row r="224" spans="1:7">
      <c r="A224">
        <v>2022</v>
      </c>
      <c r="B224" s="3" t="str">
        <f>_xlfn.XLOOKUP(C224,Mapping!$A$2:$A$54,Mapping!$B$2:$B$54)</f>
        <v>Expo / Millennium Line</v>
      </c>
      <c r="C224" t="s">
        <v>44</v>
      </c>
      <c r="D224">
        <v>5372268</v>
      </c>
      <c r="E224" t="str">
        <f>_xlfn.XLOOKUP(C224,Mapping!$D$2:$D$54,Mapping!$E$2:$E$54)</f>
        <v>Vancouver</v>
      </c>
      <c r="F224">
        <f>_xlfn.XLOOKUP($C224,Mapping!$D$2:$D$54,Mapping!F$2:F$54)</f>
        <v>49.262500000000003</v>
      </c>
      <c r="G224">
        <f>_xlfn.XLOOKUP($C224,Mapping!$D$2:$D$54,Mapping!G$2:G$54)</f>
        <v>-123.0694</v>
      </c>
    </row>
    <row r="225" spans="1:7">
      <c r="A225">
        <v>2022</v>
      </c>
      <c r="B225" s="3" t="str">
        <f>_xlfn.XLOOKUP(C225,Mapping!$A$2:$A$54,Mapping!$B$2:$B$54)</f>
        <v>Millennium Line</v>
      </c>
      <c r="C225" t="s">
        <v>12</v>
      </c>
      <c r="D225">
        <v>1256445</v>
      </c>
      <c r="E225" t="str">
        <f>_xlfn.XLOOKUP(C225,Mapping!$D$2:$D$54,Mapping!$E$2:$E$54)</f>
        <v>Coquitlam</v>
      </c>
      <c r="F225">
        <f>_xlfn.XLOOKUP($C225,Mapping!$D$2:$D$54,Mapping!F$2:F$54)</f>
        <v>49.274000000000001</v>
      </c>
      <c r="G225">
        <f>_xlfn.XLOOKUP($C225,Mapping!$D$2:$D$54,Mapping!G$2:G$54)</f>
        <v>-122.7993</v>
      </c>
    </row>
    <row r="226" spans="1:7">
      <c r="A226">
        <v>2022</v>
      </c>
      <c r="B226" s="3" t="str">
        <f>_xlfn.XLOOKUP(C226,Mapping!$A$2:$A$54,Mapping!$B$2:$B$54)</f>
        <v>Expo Line</v>
      </c>
      <c r="C226" t="s">
        <v>13</v>
      </c>
      <c r="D226">
        <v>2865899</v>
      </c>
      <c r="E226" t="str">
        <f>_xlfn.XLOOKUP(C226,Mapping!$D$2:$D$54,Mapping!$E$2:$E$54)</f>
        <v>Burnaby</v>
      </c>
      <c r="F226">
        <f>_xlfn.XLOOKUP($C226,Mapping!$D$2:$D$54,Mapping!F$2:F$54)</f>
        <v>49.213799999999999</v>
      </c>
      <c r="G226">
        <f>_xlfn.XLOOKUP($C226,Mapping!$D$2:$D$54,Mapping!G$2:G$54)</f>
        <v>-122.9592</v>
      </c>
    </row>
    <row r="227" spans="1:7">
      <c r="A227">
        <v>2022</v>
      </c>
      <c r="B227" s="3" t="str">
        <f>_xlfn.XLOOKUP(C227,Mapping!$A$2:$A$54,Mapping!$B$2:$B$54)</f>
        <v>Expo Line</v>
      </c>
      <c r="C227" t="s">
        <v>14</v>
      </c>
      <c r="D227">
        <v>1564993</v>
      </c>
      <c r="E227" t="str">
        <f>_xlfn.XLOOKUP(C227,Mapping!$D$2:$D$54,Mapping!$E$2:$E$54)</f>
        <v>Surrey</v>
      </c>
      <c r="F227">
        <f>_xlfn.XLOOKUP($C227,Mapping!$D$2:$D$54,Mapping!F$2:F$54)</f>
        <v>49.198900000000002</v>
      </c>
      <c r="G227">
        <f>_xlfn.XLOOKUP($C227,Mapping!$D$2:$D$54,Mapping!G$2:G$54)</f>
        <v>-122.8507</v>
      </c>
    </row>
    <row r="228" spans="1:7">
      <c r="A228">
        <v>2022</v>
      </c>
      <c r="B228" s="3" t="str">
        <f>_xlfn.XLOOKUP(C228,Mapping!$A$2:$A$54,Mapping!$B$2:$B$54)</f>
        <v>Millennium Line</v>
      </c>
      <c r="C228" t="s">
        <v>15</v>
      </c>
      <c r="D228">
        <v>888995</v>
      </c>
      <c r="E228" t="str">
        <f>_xlfn.XLOOKUP(C228,Mapping!$D$2:$D$54,Mapping!$E$2:$E$54)</f>
        <v>Burnaby</v>
      </c>
      <c r="F228">
        <f>_xlfn.XLOOKUP($C228,Mapping!$D$2:$D$54,Mapping!F$2:F$54)</f>
        <v>49.264899999999997</v>
      </c>
      <c r="G228">
        <f>_xlfn.XLOOKUP($C228,Mapping!$D$2:$D$54,Mapping!G$2:G$54)</f>
        <v>-123.01349999999999</v>
      </c>
    </row>
    <row r="229" spans="1:7">
      <c r="A229">
        <v>2022</v>
      </c>
      <c r="B229" s="3" t="str">
        <f>_xlfn.XLOOKUP(C229,Mapping!$A$2:$A$54,Mapping!$B$2:$B$54)</f>
        <v>Expo Line</v>
      </c>
      <c r="C229" t="s">
        <v>16</v>
      </c>
      <c r="D229">
        <v>4813625</v>
      </c>
      <c r="E229" t="str">
        <f>_xlfn.XLOOKUP(C229,Mapping!$D$2:$D$54,Mapping!$E$2:$E$54)</f>
        <v>Vancouver</v>
      </c>
      <c r="F229">
        <f>_xlfn.XLOOKUP($C229,Mapping!$D$2:$D$54,Mapping!F$2:F$54)</f>
        <v>49.283099999999997</v>
      </c>
      <c r="G229">
        <f>_xlfn.XLOOKUP($C229,Mapping!$D$2:$D$54,Mapping!G$2:G$54)</f>
        <v>-123.1161</v>
      </c>
    </row>
    <row r="230" spans="1:7">
      <c r="A230">
        <v>2022</v>
      </c>
      <c r="B230" s="3" t="str">
        <f>_xlfn.XLOOKUP(C230,Mapping!$A$2:$A$54,Mapping!$B$2:$B$54)</f>
        <v>Millennium Line</v>
      </c>
      <c r="C230" t="s">
        <v>17</v>
      </c>
      <c r="D230">
        <v>714524</v>
      </c>
      <c r="E230" t="str">
        <f>_xlfn.XLOOKUP(C230,Mapping!$D$2:$D$54,Mapping!$E$2:$E$54)</f>
        <v>Burnaby</v>
      </c>
      <c r="F230">
        <f>_xlfn.XLOOKUP($C230,Mapping!$D$2:$D$54,Mapping!F$2:F$54)</f>
        <v>49.264699999999998</v>
      </c>
      <c r="G230">
        <f>_xlfn.XLOOKUP($C230,Mapping!$D$2:$D$54,Mapping!G$2:G$54)</f>
        <v>-122.98220000000001</v>
      </c>
    </row>
    <row r="231" spans="1:7">
      <c r="A231">
        <v>2022</v>
      </c>
      <c r="B231" s="3" t="str">
        <f>_xlfn.XLOOKUP(C231,Mapping!$A$2:$A$54,Mapping!$B$2:$B$54)</f>
        <v>Millennium Line</v>
      </c>
      <c r="C231" t="s">
        <v>18</v>
      </c>
      <c r="D231">
        <v>520441</v>
      </c>
      <c r="E231" t="str">
        <f>_xlfn.XLOOKUP(C231,Mapping!$D$2:$D$54,Mapping!$E$2:$E$54)</f>
        <v>Port Moody</v>
      </c>
      <c r="F231">
        <f>_xlfn.XLOOKUP($C231,Mapping!$D$2:$D$54,Mapping!F$2:F$54)</f>
        <v>49.277700000000003</v>
      </c>
      <c r="G231">
        <f>_xlfn.XLOOKUP($C231,Mapping!$D$2:$D$54,Mapping!G$2:G$54)</f>
        <v>-122.82859999999999</v>
      </c>
    </row>
    <row r="232" spans="1:7">
      <c r="A232">
        <v>2022</v>
      </c>
      <c r="B232" s="3" t="str">
        <f>_xlfn.XLOOKUP(C232,Mapping!$A$2:$A$54,Mapping!$B$2:$B$54)</f>
        <v>Expo Line</v>
      </c>
      <c r="C232" t="s">
        <v>45</v>
      </c>
      <c r="D232">
        <v>4241447</v>
      </c>
      <c r="E232" t="str">
        <f>_xlfn.XLOOKUP(C232,Mapping!$D$2:$D$54,Mapping!$E$2:$E$54)</f>
        <v>Vancouver</v>
      </c>
      <c r="F232">
        <f>_xlfn.XLOOKUP($C232,Mapping!$D$2:$D$54,Mapping!F$2:F$54)</f>
        <v>49.238399999999999</v>
      </c>
      <c r="G232">
        <f>_xlfn.XLOOKUP($C232,Mapping!$D$2:$D$54,Mapping!G$2:G$54)</f>
        <v>-123.0318</v>
      </c>
    </row>
    <row r="233" spans="1:7">
      <c r="A233">
        <v>2022</v>
      </c>
      <c r="B233" s="3" t="str">
        <f>_xlfn.XLOOKUP(C233,Mapping!$A$2:$A$54,Mapping!$B$2:$B$54)</f>
        <v>Canada Line</v>
      </c>
      <c r="C233" t="s">
        <v>19</v>
      </c>
      <c r="D233">
        <v>1673870</v>
      </c>
      <c r="E233" t="str">
        <f>_xlfn.XLOOKUP(C233,Mapping!$D$2:$D$54,Mapping!$E$2:$E$54)</f>
        <v>Vancouver</v>
      </c>
      <c r="F233">
        <f>_xlfn.XLOOKUP($C233,Mapping!$D$2:$D$54,Mapping!F$2:F$54)</f>
        <v>49.249200000000002</v>
      </c>
      <c r="G233">
        <f>_xlfn.XLOOKUP($C233,Mapping!$D$2:$D$54,Mapping!G$2:G$54)</f>
        <v>-123.11579999999999</v>
      </c>
    </row>
    <row r="234" spans="1:7">
      <c r="A234">
        <v>2022</v>
      </c>
      <c r="B234" s="3" t="str">
        <f>_xlfn.XLOOKUP(C234,Mapping!$A$2:$A$54,Mapping!$B$2:$B$54)</f>
        <v>Expo Line</v>
      </c>
      <c r="C234" t="s">
        <v>20</v>
      </c>
      <c r="D234">
        <v>3551095</v>
      </c>
      <c r="E234" t="str">
        <f>_xlfn.XLOOKUP(C234,Mapping!$D$2:$D$54,Mapping!$E$2:$E$54)</f>
        <v>Surrey</v>
      </c>
      <c r="F234">
        <f>_xlfn.XLOOKUP($C234,Mapping!$D$2:$D$54,Mapping!F$2:F$54)</f>
        <v>49.182699999999997</v>
      </c>
      <c r="G234">
        <f>_xlfn.XLOOKUP($C234,Mapping!$D$2:$D$54,Mapping!G$2:G$54)</f>
        <v>-122.8451</v>
      </c>
    </row>
    <row r="235" spans="1:7">
      <c r="A235">
        <v>2022</v>
      </c>
      <c r="B235" s="3" t="str">
        <f>_xlfn.XLOOKUP(C235,Mapping!$A$2:$A$54,Mapping!$B$2:$B$54)</f>
        <v>Millennium Line</v>
      </c>
      <c r="C235" t="s">
        <v>21</v>
      </c>
      <c r="D235">
        <v>590633</v>
      </c>
      <c r="E235" t="str">
        <f>_xlfn.XLOOKUP(C235,Mapping!$D$2:$D$54,Mapping!$E$2:$E$54)</f>
        <v>Coquitlam</v>
      </c>
      <c r="F235">
        <f>_xlfn.XLOOKUP($C235,Mapping!$D$2:$D$54,Mapping!F$2:F$54)</f>
        <v>49.284700000000001</v>
      </c>
      <c r="G235">
        <f>_xlfn.XLOOKUP($C235,Mapping!$D$2:$D$54,Mapping!G$2:G$54)</f>
        <v>-122.78360000000001</v>
      </c>
    </row>
    <row r="236" spans="1:7">
      <c r="A236">
        <v>2022</v>
      </c>
      <c r="B236" s="3" t="str">
        <f>_xlfn.XLOOKUP(C236,Mapping!$A$2:$A$54,Mapping!$B$2:$B$54)</f>
        <v>Millennium Line</v>
      </c>
      <c r="C236" t="s">
        <v>22</v>
      </c>
      <c r="D236">
        <v>251700</v>
      </c>
      <c r="E236" t="str">
        <f>_xlfn.XLOOKUP(C236,Mapping!$D$2:$D$54,Mapping!$E$2:$E$54)</f>
        <v>Burnaby</v>
      </c>
      <c r="F236">
        <f>_xlfn.XLOOKUP($C236,Mapping!$D$2:$D$54,Mapping!F$2:F$54)</f>
        <v>49.254600000000003</v>
      </c>
      <c r="G236">
        <f>_xlfn.XLOOKUP($C236,Mapping!$D$2:$D$54,Mapping!G$2:G$54)</f>
        <v>-122.93770000000001</v>
      </c>
    </row>
    <row r="237" spans="1:7">
      <c r="A237">
        <v>2022</v>
      </c>
      <c r="B237" s="3" t="str">
        <f>_xlfn.XLOOKUP(C237,Mapping!$A$2:$A$54,Mapping!$B$2:$B$54)</f>
        <v>Canada Line</v>
      </c>
      <c r="C237" t="s">
        <v>46</v>
      </c>
      <c r="D237">
        <v>2026676</v>
      </c>
      <c r="E237" t="str">
        <f>_xlfn.XLOOKUP(C237,Mapping!$D$2:$D$54,Mapping!$E$2:$E$54)</f>
        <v>Vancouver</v>
      </c>
      <c r="F237">
        <f>_xlfn.XLOOKUP($C237,Mapping!$D$2:$D$54,Mapping!F$2:F$54)</f>
        <v>49.226300000000002</v>
      </c>
      <c r="G237">
        <f>_xlfn.XLOOKUP($C237,Mapping!$D$2:$D$54,Mapping!G$2:G$54)</f>
        <v>-123.1161</v>
      </c>
    </row>
    <row r="238" spans="1:7">
      <c r="A238">
        <v>2022</v>
      </c>
      <c r="B238" s="3" t="str">
        <f>_xlfn.XLOOKUP(C238,Mapping!$A$2:$A$54,Mapping!$B$2:$B$54)</f>
        <v>Canada Line</v>
      </c>
      <c r="C238" t="s">
        <v>23</v>
      </c>
      <c r="D238">
        <v>1128896</v>
      </c>
      <c r="E238" t="str">
        <f>_xlfn.XLOOKUP(C238,Mapping!$D$2:$D$54,Mapping!$E$2:$E$54)</f>
        <v>Richmond</v>
      </c>
      <c r="F238">
        <f>_xlfn.XLOOKUP($C238,Mapping!$D$2:$D$54,Mapping!F$2:F$54)</f>
        <v>49.174700000000001</v>
      </c>
      <c r="G238">
        <f>_xlfn.XLOOKUP($C238,Mapping!$D$2:$D$54,Mapping!G$2:G$54)</f>
        <v>-123.1362</v>
      </c>
    </row>
    <row r="239" spans="1:7">
      <c r="A239">
        <v>2022</v>
      </c>
      <c r="B239" s="3" t="str">
        <f>_xlfn.XLOOKUP(C239,Mapping!$A$2:$A$54,Mapping!$B$2:$B$54)</f>
        <v>Millennium Line</v>
      </c>
      <c r="C239" t="s">
        <v>24</v>
      </c>
      <c r="D239">
        <v>985886</v>
      </c>
      <c r="E239" t="str">
        <f>_xlfn.XLOOKUP(C239,Mapping!$D$2:$D$54,Mapping!$E$2:$E$54)</f>
        <v>Coquitlam</v>
      </c>
      <c r="F239">
        <f>_xlfn.XLOOKUP($C239,Mapping!$D$2:$D$54,Mapping!F$2:F$54)</f>
        <v>49.28</v>
      </c>
      <c r="G239">
        <f>_xlfn.XLOOKUP($C239,Mapping!$D$2:$D$54,Mapping!G$2:G$54)</f>
        <v>-122.7933</v>
      </c>
    </row>
    <row r="240" spans="1:7">
      <c r="A240">
        <v>2022</v>
      </c>
      <c r="B240" s="3" t="str">
        <f>_xlfn.XLOOKUP(C240,Mapping!$A$2:$A$54,Mapping!$B$2:$B$54)</f>
        <v>Expo / Millennium Line</v>
      </c>
      <c r="C240" t="s">
        <v>25</v>
      </c>
      <c r="D240">
        <v>2944061</v>
      </c>
      <c r="E240" t="str">
        <f>_xlfn.XLOOKUP(C240,Mapping!$D$2:$D$54,Mapping!$E$2:$E$54)</f>
        <v>Burnaby</v>
      </c>
      <c r="F240">
        <f>_xlfn.XLOOKUP($C240,Mapping!$D$2:$D$54,Mapping!F$2:F$54)</f>
        <v>49.2483</v>
      </c>
      <c r="G240">
        <f>_xlfn.XLOOKUP($C240,Mapping!$D$2:$D$54,Mapping!G$2:G$54)</f>
        <v>-122.89700000000001</v>
      </c>
    </row>
    <row r="241" spans="1:7">
      <c r="A241">
        <v>2022</v>
      </c>
      <c r="B241" s="3" t="str">
        <f>_xlfn.XLOOKUP(C241,Mapping!$A$2:$A$54,Mapping!$B$2:$B$54)</f>
        <v>Expo Line</v>
      </c>
      <c r="C241" t="s">
        <v>47</v>
      </c>
      <c r="D241">
        <v>3124307</v>
      </c>
      <c r="E241" t="str">
        <f>_xlfn.XLOOKUP(C241,Mapping!$D$2:$D$54,Mapping!$E$2:$E$54)</f>
        <v>Vancouver</v>
      </c>
      <c r="F241">
        <f>_xlfn.XLOOKUP($C241,Mapping!$D$2:$D$54,Mapping!F$2:F$54)</f>
        <v>49.273200000000003</v>
      </c>
      <c r="G241">
        <f>_xlfn.XLOOKUP($C241,Mapping!$D$2:$D$54,Mapping!G$2:G$54)</f>
        <v>-123.1003</v>
      </c>
    </row>
    <row r="242" spans="1:7">
      <c r="A242">
        <v>2022</v>
      </c>
      <c r="B242" s="3" t="str">
        <f>_xlfn.XLOOKUP(C242,Mapping!$A$2:$A$54,Mapping!$B$2:$B$54)</f>
        <v>Canada Line</v>
      </c>
      <c r="C242" t="s">
        <v>26</v>
      </c>
      <c r="D242">
        <v>2788231</v>
      </c>
      <c r="E242" t="str">
        <f>_xlfn.XLOOKUP(C242,Mapping!$D$2:$D$54,Mapping!$E$2:$E$54)</f>
        <v>Vancouver</v>
      </c>
      <c r="F242">
        <f>_xlfn.XLOOKUP($C242,Mapping!$D$2:$D$54,Mapping!F$2:F$54)</f>
        <v>49.209800000000001</v>
      </c>
      <c r="G242">
        <f>_xlfn.XLOOKUP($C242,Mapping!$D$2:$D$54,Mapping!G$2:G$54)</f>
        <v>-123.1174</v>
      </c>
    </row>
    <row r="243" spans="1:7">
      <c r="A243">
        <v>2022</v>
      </c>
      <c r="B243" s="3" t="str">
        <f>_xlfn.XLOOKUP(C243,Mapping!$A$2:$A$54,Mapping!$B$2:$B$54)</f>
        <v>Expo Line</v>
      </c>
      <c r="C243" t="s">
        <v>27</v>
      </c>
      <c r="D243">
        <v>6650739</v>
      </c>
      <c r="E243" t="str">
        <f>_xlfn.XLOOKUP(C243,Mapping!$D$2:$D$54,Mapping!$E$2:$E$54)</f>
        <v>Burnaby</v>
      </c>
      <c r="F243">
        <f>_xlfn.XLOOKUP($C243,Mapping!$D$2:$D$54,Mapping!F$2:F$54)</f>
        <v>49.225700000000003</v>
      </c>
      <c r="G243">
        <f>_xlfn.XLOOKUP($C243,Mapping!$D$2:$D$54,Mapping!G$2:G$54)</f>
        <v>-123.0039</v>
      </c>
    </row>
    <row r="244" spans="1:7">
      <c r="A244">
        <v>2022</v>
      </c>
      <c r="B244" s="3" t="str">
        <f>_xlfn.XLOOKUP(C244,Mapping!$A$2:$A$54,Mapping!$B$2:$B$54)</f>
        <v>Millennium Line</v>
      </c>
      <c r="C244" t="s">
        <v>28</v>
      </c>
      <c r="D244">
        <v>616493</v>
      </c>
      <c r="E244" t="str">
        <f>_xlfn.XLOOKUP(C244,Mapping!$D$2:$D$54,Mapping!$E$2:$E$54)</f>
        <v>Port Moody</v>
      </c>
      <c r="F244">
        <f>_xlfn.XLOOKUP($C244,Mapping!$D$2:$D$54,Mapping!F$2:F$54)</f>
        <v>49.278300000000002</v>
      </c>
      <c r="G244">
        <f>_xlfn.XLOOKUP($C244,Mapping!$D$2:$D$54,Mapping!G$2:G$54)</f>
        <v>-122.845</v>
      </c>
    </row>
    <row r="245" spans="1:7">
      <c r="A245">
        <v>2022</v>
      </c>
      <c r="B245" s="3" t="str">
        <f>_xlfn.XLOOKUP(C245,Mapping!$A$2:$A$54,Mapping!$B$2:$B$54)</f>
        <v>Expo Line</v>
      </c>
      <c r="C245" t="s">
        <v>29</v>
      </c>
      <c r="D245">
        <v>1824819</v>
      </c>
      <c r="E245" t="str">
        <f>_xlfn.XLOOKUP(C245,Mapping!$D$2:$D$54,Mapping!$E$2:$E$54)</f>
        <v>Vancouver</v>
      </c>
      <c r="F245">
        <f>_xlfn.XLOOKUP($C245,Mapping!$D$2:$D$54,Mapping!F$2:F$54)</f>
        <v>49.2483</v>
      </c>
      <c r="G245">
        <f>_xlfn.XLOOKUP($C245,Mapping!$D$2:$D$54,Mapping!G$2:G$54)</f>
        <v>-123.05589999999999</v>
      </c>
    </row>
    <row r="246" spans="1:7">
      <c r="A246">
        <v>2022</v>
      </c>
      <c r="B246" s="3" t="str">
        <f>_xlfn.XLOOKUP(C246,Mapping!$A$2:$A$54,Mapping!$B$2:$B$54)</f>
        <v>Expo Line</v>
      </c>
      <c r="C246" t="s">
        <v>30</v>
      </c>
      <c r="D246">
        <v>3787617</v>
      </c>
      <c r="E246" t="str">
        <f>_xlfn.XLOOKUP(C246,Mapping!$D$2:$D$54,Mapping!$E$2:$E$54)</f>
        <v>New Westminster</v>
      </c>
      <c r="F246">
        <f>_xlfn.XLOOKUP($C246,Mapping!$D$2:$D$54,Mapping!F$2:F$54)</f>
        <v>49.201500000000003</v>
      </c>
      <c r="G246">
        <f>_xlfn.XLOOKUP($C246,Mapping!$D$2:$D$54,Mapping!G$2:G$54)</f>
        <v>-122.9126</v>
      </c>
    </row>
    <row r="247" spans="1:7">
      <c r="A247">
        <v>2022</v>
      </c>
      <c r="B247" s="3" t="str">
        <f>_xlfn.XLOOKUP(C247,Mapping!$A$2:$A$54,Mapping!$B$2:$B$54)</f>
        <v>Canada Line</v>
      </c>
      <c r="C247" t="s">
        <v>48</v>
      </c>
      <c r="D247">
        <v>1955421</v>
      </c>
      <c r="E247" t="str">
        <f>_xlfn.XLOOKUP(C247,Mapping!$D$2:$D$54,Mapping!$E$2:$E$54)</f>
        <v>Vancouver</v>
      </c>
      <c r="F247">
        <f>_xlfn.XLOOKUP($C247,Mapping!$D$2:$D$54,Mapping!F$2:F$54)</f>
        <v>49.232999999999997</v>
      </c>
      <c r="G247">
        <f>_xlfn.XLOOKUP($C247,Mapping!$D$2:$D$54,Mapping!G$2:G$54)</f>
        <v>-123.1161</v>
      </c>
    </row>
    <row r="248" spans="1:7">
      <c r="A248">
        <v>2022</v>
      </c>
      <c r="B248" s="3" t="str">
        <f>_xlfn.XLOOKUP(C248,Mapping!$A$2:$A$54,Mapping!$B$2:$B$54)</f>
        <v>Canada Line</v>
      </c>
      <c r="C248" t="s">
        <v>31</v>
      </c>
      <c r="D248">
        <v>1037504</v>
      </c>
      <c r="E248" t="str">
        <f>_xlfn.XLOOKUP(C248,Mapping!$D$2:$D$54,Mapping!$E$2:$E$54)</f>
        <v>Vancouver</v>
      </c>
      <c r="F248">
        <f>_xlfn.XLOOKUP($C248,Mapping!$D$2:$D$54,Mapping!F$2:F$54)</f>
        <v>49.266500000000001</v>
      </c>
      <c r="G248">
        <f>_xlfn.XLOOKUP($C248,Mapping!$D$2:$D$54,Mapping!G$2:G$54)</f>
        <v>-123.1156</v>
      </c>
    </row>
    <row r="249" spans="1:7">
      <c r="A249">
        <v>2022</v>
      </c>
      <c r="B249" s="3" t="str">
        <f>_xlfn.XLOOKUP(C249,Mapping!$A$2:$A$54,Mapping!$B$2:$B$54)</f>
        <v>Expo Line</v>
      </c>
      <c r="C249" t="s">
        <v>32</v>
      </c>
      <c r="D249">
        <v>1091848</v>
      </c>
      <c r="E249" t="str">
        <f>_xlfn.XLOOKUP(C249,Mapping!$D$2:$D$54,Mapping!$E$2:$E$54)</f>
        <v>Burnaby</v>
      </c>
      <c r="F249">
        <f>_xlfn.XLOOKUP($C249,Mapping!$D$2:$D$54,Mapping!F$2:F$54)</f>
        <v>49.229700000000001</v>
      </c>
      <c r="G249">
        <f>_xlfn.XLOOKUP($C249,Mapping!$D$2:$D$54,Mapping!G$2:G$54)</f>
        <v>-123.01260000000001</v>
      </c>
    </row>
    <row r="250" spans="1:7">
      <c r="A250">
        <v>2022</v>
      </c>
      <c r="B250" s="3" t="str">
        <f>_xlfn.XLOOKUP(C250,Mapping!$A$2:$A$54,Mapping!$B$2:$B$54)</f>
        <v>Expo / Millennium Line</v>
      </c>
      <c r="C250" t="s">
        <v>49</v>
      </c>
      <c r="D250">
        <v>1251901</v>
      </c>
      <c r="E250" t="str">
        <f>_xlfn.XLOOKUP(C250,Mapping!$D$2:$D$54,Mapping!$E$2:$E$54)</f>
        <v>Burnaby</v>
      </c>
      <c r="F250">
        <f>_xlfn.XLOOKUP($C250,Mapping!$D$2:$D$54,Mapping!F$2:F$54)</f>
        <v>49.253300000000003</v>
      </c>
      <c r="G250">
        <f>_xlfn.XLOOKUP($C250,Mapping!$D$2:$D$54,Mapping!G$2:G$54)</f>
        <v>-122.91800000000001</v>
      </c>
    </row>
    <row r="251" spans="1:7">
      <c r="A251">
        <v>2022</v>
      </c>
      <c r="B251" s="3" t="str">
        <f>_xlfn.XLOOKUP(C251,Mapping!$A$2:$A$54,Mapping!$B$2:$B$54)</f>
        <v>Millennium Line</v>
      </c>
      <c r="C251" t="s">
        <v>33</v>
      </c>
      <c r="D251">
        <v>843995</v>
      </c>
      <c r="E251" t="str">
        <f>_xlfn.XLOOKUP(C251,Mapping!$D$2:$D$54,Mapping!$E$2:$E$54)</f>
        <v>Vancouver</v>
      </c>
      <c r="F251">
        <f>_xlfn.XLOOKUP($C251,Mapping!$D$2:$D$54,Mapping!F$2:F$54)</f>
        <v>49.258800000000001</v>
      </c>
      <c r="G251">
        <f>_xlfn.XLOOKUP($C251,Mapping!$D$2:$D$54,Mapping!G$2:G$54)</f>
        <v>-123.0453</v>
      </c>
    </row>
    <row r="252" spans="1:7">
      <c r="A252">
        <v>2022</v>
      </c>
      <c r="B252" s="3" t="str">
        <f>_xlfn.XLOOKUP(C252,Mapping!$A$2:$A$54,Mapping!$B$2:$B$54)</f>
        <v>Canada Line</v>
      </c>
      <c r="C252" t="s">
        <v>50</v>
      </c>
      <c r="D252">
        <v>2870590</v>
      </c>
      <c r="E252" t="str">
        <f>_xlfn.XLOOKUP(C252,Mapping!$D$2:$D$54,Mapping!$E$2:$E$54)</f>
        <v>Richmond</v>
      </c>
      <c r="F252">
        <f>_xlfn.XLOOKUP($C252,Mapping!$D$2:$D$54,Mapping!F$2:F$54)</f>
        <v>49.168100000000003</v>
      </c>
      <c r="G252">
        <f>_xlfn.XLOOKUP($C252,Mapping!$D$2:$D$54,Mapping!G$2:G$54)</f>
        <v>-123.1362</v>
      </c>
    </row>
    <row r="253" spans="1:7">
      <c r="A253">
        <v>2022</v>
      </c>
      <c r="B253" s="3" t="str">
        <f>_xlfn.XLOOKUP(C253,Mapping!$A$2:$A$54,Mapping!$B$2:$B$54)</f>
        <v>Expo Line</v>
      </c>
      <c r="C253" t="s">
        <v>34</v>
      </c>
      <c r="D253">
        <v>1443250</v>
      </c>
      <c r="E253" t="str">
        <f>_xlfn.XLOOKUP(C253,Mapping!$D$2:$D$54,Mapping!$E$2:$E$54)</f>
        <v>Burnaby</v>
      </c>
      <c r="F253">
        <f>_xlfn.XLOOKUP($C253,Mapping!$D$2:$D$54,Mapping!F$2:F$54)</f>
        <v>49.220100000000002</v>
      </c>
      <c r="G253">
        <f>_xlfn.XLOOKUP($C253,Mapping!$D$2:$D$54,Mapping!G$2:G$54)</f>
        <v>-122.9884</v>
      </c>
    </row>
    <row r="254" spans="1:7">
      <c r="A254">
        <v>2022</v>
      </c>
      <c r="B254" s="3" t="str">
        <f>_xlfn.XLOOKUP(C254,Mapping!$A$2:$A$54,Mapping!$B$2:$B$54)</f>
        <v>Millennium Line</v>
      </c>
      <c r="C254" t="s">
        <v>35</v>
      </c>
      <c r="D254">
        <v>742886</v>
      </c>
      <c r="E254" t="str">
        <f>_xlfn.XLOOKUP(C254,Mapping!$D$2:$D$54,Mapping!$E$2:$E$54)</f>
        <v>Vancouver</v>
      </c>
      <c r="F254">
        <f>_xlfn.XLOOKUP($C254,Mapping!$D$2:$D$54,Mapping!F$2:F$54)</f>
        <v>49.258800000000001</v>
      </c>
      <c r="G254">
        <f>_xlfn.XLOOKUP($C254,Mapping!$D$2:$D$54,Mapping!G$2:G$54)</f>
        <v>-123.02670000000001</v>
      </c>
    </row>
    <row r="255" spans="1:7">
      <c r="A255">
        <v>2022</v>
      </c>
      <c r="B255" s="3" t="str">
        <f>_xlfn.XLOOKUP(C255,Mapping!$A$2:$A$54,Mapping!$B$2:$B$54)</f>
        <v>Expo Line</v>
      </c>
      <c r="C255" t="s">
        <v>36</v>
      </c>
      <c r="D255">
        <v>721906</v>
      </c>
      <c r="E255" t="str">
        <f>_xlfn.XLOOKUP(C255,Mapping!$D$2:$D$54,Mapping!$E$2:$E$54)</f>
        <v>New Westminster</v>
      </c>
      <c r="F255">
        <f>_xlfn.XLOOKUP($C255,Mapping!$D$2:$D$54,Mapping!F$2:F$54)</f>
        <v>49.2254</v>
      </c>
      <c r="G255">
        <f>_xlfn.XLOOKUP($C255,Mapping!$D$2:$D$54,Mapping!G$2:G$54)</f>
        <v>-122.88639999999999</v>
      </c>
    </row>
    <row r="256" spans="1:7">
      <c r="A256">
        <v>2022</v>
      </c>
      <c r="B256" s="3" t="str">
        <f>_xlfn.XLOOKUP(C256,Mapping!$A$2:$A$54,Mapping!$B$2:$B$54)</f>
        <v>Expo Line</v>
      </c>
      <c r="C256" t="s">
        <v>37</v>
      </c>
      <c r="D256">
        <v>2808481</v>
      </c>
      <c r="E256" t="str">
        <f>_xlfn.XLOOKUP(C256,Mapping!$D$2:$D$54,Mapping!$E$2:$E$54)</f>
        <v>Surrey</v>
      </c>
      <c r="F256">
        <f>_xlfn.XLOOKUP($C256,Mapping!$D$2:$D$54,Mapping!F$2:F$54)</f>
        <v>49.2044</v>
      </c>
      <c r="G256">
        <f>_xlfn.XLOOKUP($C256,Mapping!$D$2:$D$54,Mapping!G$2:G$54)</f>
        <v>-122.87430000000001</v>
      </c>
    </row>
    <row r="257" spans="1:7">
      <c r="A257">
        <v>2022</v>
      </c>
      <c r="B257" s="3" t="str">
        <f>_xlfn.XLOOKUP(C257,Mapping!$A$2:$A$54,Mapping!$B$2:$B$54)</f>
        <v>Canada Line</v>
      </c>
      <c r="C257" t="s">
        <v>38</v>
      </c>
      <c r="D257">
        <v>251053</v>
      </c>
      <c r="E257" t="str">
        <f>_xlfn.XLOOKUP(C257,Mapping!$D$2:$D$54,Mapping!$E$2:$E$54)</f>
        <v>Richmond</v>
      </c>
      <c r="F257">
        <f>_xlfn.XLOOKUP($C257,Mapping!$D$2:$D$54,Mapping!F$2:F$54)</f>
        <v>49.193100000000001</v>
      </c>
      <c r="G257">
        <f>_xlfn.XLOOKUP($C257,Mapping!$D$2:$D$54,Mapping!G$2:G$54)</f>
        <v>-123.1553</v>
      </c>
    </row>
    <row r="258" spans="1:7">
      <c r="A258">
        <v>2022</v>
      </c>
      <c r="B258" s="3" t="str">
        <f>_xlfn.XLOOKUP(C258,Mapping!$A$2:$A$54,Mapping!$B$2:$B$54)</f>
        <v>Millennium Line</v>
      </c>
      <c r="C258" t="s">
        <v>51</v>
      </c>
      <c r="D258">
        <v>474159</v>
      </c>
      <c r="E258" t="str">
        <f>_xlfn.XLOOKUP(C258,Mapping!$D$2:$D$54,Mapping!$E$2:$E$54)</f>
        <v>Burnaby</v>
      </c>
      <c r="F258">
        <f>_xlfn.XLOOKUP($C258,Mapping!$D$2:$D$54,Mapping!F$2:F$54)</f>
        <v>49.2592</v>
      </c>
      <c r="G258">
        <f>_xlfn.XLOOKUP($C258,Mapping!$D$2:$D$54,Mapping!G$2:G$54)</f>
        <v>-122.96420000000001</v>
      </c>
    </row>
    <row r="259" spans="1:7">
      <c r="A259">
        <v>2022</v>
      </c>
      <c r="B259" s="3" t="str">
        <f>_xlfn.XLOOKUP(C259,Mapping!$A$2:$A$54,Mapping!$B$2:$B$54)</f>
        <v>Expo Line</v>
      </c>
      <c r="C259" t="s">
        <v>52</v>
      </c>
      <c r="D259">
        <v>3656857</v>
      </c>
      <c r="E259" t="str">
        <f>_xlfn.XLOOKUP(C259,Mapping!$D$2:$D$54,Mapping!$E$2:$E$54)</f>
        <v>Vancouver</v>
      </c>
      <c r="F259">
        <f>_xlfn.XLOOKUP($C259,Mapping!$D$2:$D$54,Mapping!F$2:F$54)</f>
        <v>49.279600000000002</v>
      </c>
      <c r="G259">
        <f>_xlfn.XLOOKUP($C259,Mapping!$D$2:$D$54,Mapping!G$2:G$54)</f>
        <v>-123.10980000000001</v>
      </c>
    </row>
    <row r="260" spans="1:7">
      <c r="A260">
        <v>2022</v>
      </c>
      <c r="B260" s="3" t="str">
        <f>_xlfn.XLOOKUP(C260,Mapping!$A$2:$A$54,Mapping!$B$2:$B$54)</f>
        <v>Expo Line</v>
      </c>
      <c r="C260" t="s">
        <v>39</v>
      </c>
      <c r="D260">
        <v>3895828</v>
      </c>
      <c r="E260" t="str">
        <f>_xlfn.XLOOKUP(C260,Mapping!$D$2:$D$54,Mapping!$E$2:$E$54)</f>
        <v>Surrey</v>
      </c>
      <c r="F260">
        <f>_xlfn.XLOOKUP($C260,Mapping!$D$2:$D$54,Mapping!F$2:F$54)</f>
        <v>49.189599999999999</v>
      </c>
      <c r="G260">
        <f>_xlfn.XLOOKUP($C260,Mapping!$D$2:$D$54,Mapping!G$2:G$54)</f>
        <v>-122.8479</v>
      </c>
    </row>
    <row r="261" spans="1:7">
      <c r="A261">
        <v>2022</v>
      </c>
      <c r="B261" s="3" t="str">
        <f>_xlfn.XLOOKUP(C261,Mapping!$A$2:$A$54,Mapping!$B$2:$B$54)</f>
        <v>Canada Line</v>
      </c>
      <c r="C261" t="s">
        <v>40</v>
      </c>
      <c r="D261">
        <v>1051081</v>
      </c>
      <c r="E261" t="str">
        <f>_xlfn.XLOOKUP(C261,Mapping!$D$2:$D$54,Mapping!$E$2:$E$54)</f>
        <v>Richmond</v>
      </c>
      <c r="F261">
        <f>_xlfn.XLOOKUP($C261,Mapping!$D$2:$D$54,Mapping!F$2:F$54)</f>
        <v>49.196300000000001</v>
      </c>
      <c r="G261">
        <f>_xlfn.XLOOKUP($C261,Mapping!$D$2:$D$54,Mapping!G$2:G$54)</f>
        <v>-123.1465</v>
      </c>
    </row>
    <row r="262" spans="1:7">
      <c r="A262">
        <v>2022</v>
      </c>
      <c r="B262" s="3" t="str">
        <f>_xlfn.XLOOKUP(C262,Mapping!$A$2:$A$54,Mapping!$B$2:$B$54)</f>
        <v>Millennium Line</v>
      </c>
      <c r="C262" t="s">
        <v>53</v>
      </c>
      <c r="D262">
        <v>637772</v>
      </c>
      <c r="E262" t="str">
        <f>_xlfn.XLOOKUP(C262,Mapping!$D$2:$D$54,Mapping!$E$2:$E$54)</f>
        <v>Vancouver</v>
      </c>
      <c r="F262">
        <f>_xlfn.XLOOKUP($C262,Mapping!$D$2:$D$54,Mapping!F$2:F$54)</f>
        <v>49.265799999999999</v>
      </c>
      <c r="G262">
        <f>_xlfn.XLOOKUP($C262,Mapping!$D$2:$D$54,Mapping!G$2:G$54)</f>
        <v>-123.0792</v>
      </c>
    </row>
    <row r="263" spans="1:7">
      <c r="A263">
        <v>2022</v>
      </c>
      <c r="B263" s="3" t="str">
        <f>_xlfn.XLOOKUP(C263,Mapping!$A$2:$A$54,Mapping!$B$2:$B$54)</f>
        <v>Canada Line</v>
      </c>
      <c r="C263" t="s">
        <v>41</v>
      </c>
      <c r="D263">
        <v>4030122</v>
      </c>
      <c r="E263" t="str">
        <f>_xlfn.XLOOKUP(C263,Mapping!$D$2:$D$54,Mapping!$E$2:$E$54)</f>
        <v>Vancouver</v>
      </c>
      <c r="F263">
        <f>_xlfn.XLOOKUP($C263,Mapping!$D$2:$D$54,Mapping!F$2:F$54)</f>
        <v>49.282499999999999</v>
      </c>
      <c r="G263">
        <f>_xlfn.XLOOKUP($C263,Mapping!$D$2:$D$54,Mapping!G$2:G$54)</f>
        <v>-123.1185</v>
      </c>
    </row>
    <row r="264" spans="1:7">
      <c r="A264">
        <v>2022</v>
      </c>
      <c r="B264" s="3" t="str">
        <f>_xlfn.XLOOKUP(C264,Mapping!$A$2:$A$54,Mapping!$B$2:$B$54)</f>
        <v>Expo / Canada Line</v>
      </c>
      <c r="C264" t="s">
        <v>42</v>
      </c>
      <c r="D264">
        <v>7895862</v>
      </c>
      <c r="E264" t="str">
        <f>_xlfn.XLOOKUP(C264,Mapping!$D$2:$D$54,Mapping!$E$2:$E$54)</f>
        <v>Vancouver</v>
      </c>
      <c r="F264">
        <f>_xlfn.XLOOKUP($C264,Mapping!$D$2:$D$54,Mapping!F$2:F$54)</f>
        <v>49.285899999999998</v>
      </c>
      <c r="G264">
        <f>_xlfn.XLOOKUP($C264,Mapping!$D$2:$D$54,Mapping!G$2:G$54)</f>
        <v>-123.1118</v>
      </c>
    </row>
    <row r="265" spans="1:7">
      <c r="A265">
        <v>2022</v>
      </c>
      <c r="B265" s="3" t="str">
        <f>_xlfn.XLOOKUP(C265,Mapping!$A$2:$A$54,Mapping!$B$2:$B$54)</f>
        <v>Canada Line</v>
      </c>
      <c r="C265" t="s">
        <v>55</v>
      </c>
      <c r="D265">
        <v>2226461</v>
      </c>
      <c r="E265" t="str">
        <f>_xlfn.XLOOKUP(C265,Mapping!$D$2:$D$54,Mapping!$E$2:$E$54)</f>
        <v>Richmond</v>
      </c>
      <c r="F265">
        <f>_xlfn.XLOOKUP($C265,Mapping!$D$2:$D$54,Mapping!F$2:F$54)</f>
        <v>49.193899999999999</v>
      </c>
      <c r="G265">
        <f>_xlfn.XLOOKUP($C265,Mapping!$D$2:$D$54,Mapping!G$2:G$54)</f>
        <v>-123.1765</v>
      </c>
    </row>
    <row r="266" spans="1:7">
      <c r="A266">
        <v>2022</v>
      </c>
      <c r="B266" s="3" t="str">
        <f>_xlfn.XLOOKUP(C266,Mapping!$A$2:$A$54,Mapping!$B$2:$B$54)</f>
        <v>Canada Line</v>
      </c>
      <c r="C266" t="s">
        <v>54</v>
      </c>
      <c r="D266">
        <v>2548532</v>
      </c>
      <c r="E266" t="str">
        <f>_xlfn.XLOOKUP(C266,Mapping!$D$2:$D$54,Mapping!$E$2:$E$54)</f>
        <v>Vancouver</v>
      </c>
      <c r="F266">
        <f>_xlfn.XLOOKUP($C266,Mapping!$D$2:$D$54,Mapping!F$2:F$54)</f>
        <v>49.274500000000003</v>
      </c>
      <c r="G266">
        <f>_xlfn.XLOOKUP($C266,Mapping!$D$2:$D$54,Mapping!G$2:G$54)</f>
        <v>-123.1219</v>
      </c>
    </row>
    <row r="267" spans="1:7">
      <c r="A267">
        <v>2023</v>
      </c>
      <c r="B267" s="3" t="str">
        <f>_xlfn.XLOOKUP(C267,Mapping!$A$2:$A$54,Mapping!$B$2:$B$54)</f>
        <v>Expo Line</v>
      </c>
      <c r="C267" t="s">
        <v>3</v>
      </c>
      <c r="D267">
        <v>3407187</v>
      </c>
      <c r="E267" t="str">
        <f>_xlfn.XLOOKUP(C267,Mapping!$D$2:$D$54,Mapping!$E$2:$E$54)</f>
        <v>New Westminster</v>
      </c>
      <c r="F267">
        <f>_xlfn.XLOOKUP($C267,Mapping!$D$2:$D$54,Mapping!F$2:F$54)</f>
        <v>49.2</v>
      </c>
      <c r="G267">
        <f>_xlfn.XLOOKUP($C267,Mapping!$D$2:$D$54,Mapping!G$2:G$54)</f>
        <v>-122.949</v>
      </c>
    </row>
    <row r="268" spans="1:7">
      <c r="A268">
        <v>2023</v>
      </c>
      <c r="B268" s="3" t="str">
        <f>_xlfn.XLOOKUP(C268,Mapping!$A$2:$A$54,Mapping!$B$2:$B$54)</f>
        <v>Expo Line</v>
      </c>
      <c r="C268" t="s">
        <v>4</v>
      </c>
      <c r="D268">
        <v>2174050</v>
      </c>
      <c r="E268" t="str">
        <f>_xlfn.XLOOKUP(C268,Mapping!$D$2:$D$54,Mapping!$E$2:$E$54)</f>
        <v>Vancouver</v>
      </c>
      <c r="F268">
        <f>_xlfn.XLOOKUP($C268,Mapping!$D$2:$D$54,Mapping!F$2:F$54)</f>
        <v>49.244300000000003</v>
      </c>
      <c r="G268">
        <f>_xlfn.XLOOKUP($C268,Mapping!$D$2:$D$54,Mapping!G$2:G$54)</f>
        <v>-123.045</v>
      </c>
    </row>
    <row r="269" spans="1:7">
      <c r="A269">
        <v>2023</v>
      </c>
      <c r="B269" s="3" t="str">
        <f>_xlfn.XLOOKUP(C269,Mapping!$A$2:$A$54,Mapping!$B$2:$B$54)</f>
        <v>Canada Line</v>
      </c>
      <c r="C269" t="s">
        <v>5</v>
      </c>
      <c r="D269">
        <v>1268532</v>
      </c>
      <c r="E269" t="str">
        <f>_xlfn.XLOOKUP(C269,Mapping!$D$2:$D$54,Mapping!$E$2:$E$54)</f>
        <v>Richmond</v>
      </c>
      <c r="F269">
        <f>_xlfn.XLOOKUP($C269,Mapping!$D$2:$D$54,Mapping!F$2:F$54)</f>
        <v>49.1843</v>
      </c>
      <c r="G269">
        <f>_xlfn.XLOOKUP($C269,Mapping!$D$2:$D$54,Mapping!G$2:G$54)</f>
        <v>-123.1362</v>
      </c>
    </row>
    <row r="270" spans="1:7">
      <c r="A270">
        <v>2023</v>
      </c>
      <c r="B270" s="3" t="str">
        <f>_xlfn.XLOOKUP(C270,Mapping!$A$2:$A$54,Mapping!$B$2:$B$54)</f>
        <v>Expo Line</v>
      </c>
      <c r="C270" t="s">
        <v>6</v>
      </c>
      <c r="D270">
        <v>1194770</v>
      </c>
      <c r="E270" t="str">
        <f>_xlfn.XLOOKUP(C270,Mapping!$D$2:$D$54,Mapping!$E$2:$E$54)</f>
        <v>New Westminster</v>
      </c>
      <c r="F270">
        <f>_xlfn.XLOOKUP($C270,Mapping!$D$2:$D$54,Mapping!F$2:F$54)</f>
        <v>49.232999999999997</v>
      </c>
      <c r="G270">
        <f>_xlfn.XLOOKUP($C270,Mapping!$D$2:$D$54,Mapping!G$2:G$54)</f>
        <v>-122.8828</v>
      </c>
    </row>
    <row r="271" spans="1:7">
      <c r="A271">
        <v>2023</v>
      </c>
      <c r="B271" s="3" t="str">
        <f>_xlfn.XLOOKUP(C271,Mapping!$A$2:$A$54,Mapping!$B$2:$B$54)</f>
        <v>Millennium Line</v>
      </c>
      <c r="C271" t="s">
        <v>7</v>
      </c>
      <c r="D271">
        <v>2120331</v>
      </c>
      <c r="E271" t="str">
        <f>_xlfn.XLOOKUP(C271,Mapping!$D$2:$D$54,Mapping!$E$2:$E$54)</f>
        <v>Burnaby</v>
      </c>
      <c r="F271">
        <f>_xlfn.XLOOKUP($C271,Mapping!$D$2:$D$54,Mapping!F$2:F$54)</f>
        <v>49.266199999999998</v>
      </c>
      <c r="G271">
        <f>_xlfn.XLOOKUP($C271,Mapping!$D$2:$D$54,Mapping!G$2:G$54)</f>
        <v>-123.0016</v>
      </c>
    </row>
    <row r="272" spans="1:7">
      <c r="A272">
        <v>2023</v>
      </c>
      <c r="B272" s="3" t="str">
        <f>_xlfn.XLOOKUP(C272,Mapping!$A$2:$A$54,Mapping!$B$2:$B$54)</f>
        <v>Canada Line</v>
      </c>
      <c r="C272" t="s">
        <v>8</v>
      </c>
      <c r="D272">
        <v>3154342</v>
      </c>
      <c r="E272" t="str">
        <f>_xlfn.XLOOKUP(C272,Mapping!$D$2:$D$54,Mapping!$E$2:$E$54)</f>
        <v>Richmond</v>
      </c>
      <c r="F272">
        <f>_xlfn.XLOOKUP($C272,Mapping!$D$2:$D$54,Mapping!F$2:F$54)</f>
        <v>49.192500000000003</v>
      </c>
      <c r="G272">
        <f>_xlfn.XLOOKUP($C272,Mapping!$D$2:$D$54,Mapping!G$2:G$54)</f>
        <v>-123.1264</v>
      </c>
    </row>
    <row r="273" spans="1:7">
      <c r="A273">
        <v>2023</v>
      </c>
      <c r="B273" s="3" t="str">
        <f>_xlfn.XLOOKUP(C273,Mapping!$A$2:$A$54,Mapping!$B$2:$B$54)</f>
        <v>Canada Line</v>
      </c>
      <c r="C273" t="s">
        <v>43</v>
      </c>
      <c r="D273">
        <v>3397005</v>
      </c>
      <c r="E273" t="str">
        <f>_xlfn.XLOOKUP(C273,Mapping!$D$2:$D$54,Mapping!$E$2:$E$54)</f>
        <v>Vancouver</v>
      </c>
      <c r="F273">
        <f>_xlfn.XLOOKUP($C273,Mapping!$D$2:$D$54,Mapping!F$2:F$54)</f>
        <v>49.263100000000001</v>
      </c>
      <c r="G273">
        <f>_xlfn.XLOOKUP($C273,Mapping!$D$2:$D$54,Mapping!G$2:G$54)</f>
        <v>-123.1147</v>
      </c>
    </row>
    <row r="274" spans="1:7">
      <c r="A274">
        <v>2023</v>
      </c>
      <c r="B274" s="3" t="str">
        <f>_xlfn.XLOOKUP(C274,Mapping!$A$2:$A$54,Mapping!$B$2:$B$54)</f>
        <v>Millennium Line</v>
      </c>
      <c r="C274" t="s">
        <v>9</v>
      </c>
      <c r="D274">
        <v>1448068</v>
      </c>
      <c r="E274" t="str">
        <f>_xlfn.XLOOKUP(C274,Mapping!$D$2:$D$54,Mapping!$E$2:$E$54)</f>
        <v>Coquitlam</v>
      </c>
      <c r="F274">
        <f>_xlfn.XLOOKUP($C274,Mapping!$D$2:$D$54,Mapping!F$2:F$54)</f>
        <v>49.261800000000001</v>
      </c>
      <c r="G274">
        <f>_xlfn.XLOOKUP($C274,Mapping!$D$2:$D$54,Mapping!G$2:G$54)</f>
        <v>-122.88979999999999</v>
      </c>
    </row>
    <row r="275" spans="1:7">
      <c r="A275">
        <v>2023</v>
      </c>
      <c r="B275" s="3" t="str">
        <f>_xlfn.XLOOKUP(C275,Mapping!$A$2:$A$54,Mapping!$B$2:$B$54)</f>
        <v>Expo Line</v>
      </c>
      <c r="C275" t="s">
        <v>10</v>
      </c>
      <c r="D275">
        <v>5795977</v>
      </c>
      <c r="E275" t="str">
        <f>_xlfn.XLOOKUP(C275,Mapping!$D$2:$D$54,Mapping!$E$2:$E$54)</f>
        <v>Vancouver</v>
      </c>
      <c r="F275">
        <f>_xlfn.XLOOKUP($C275,Mapping!$D$2:$D$54,Mapping!F$2:F$54)</f>
        <v>49.285600000000002</v>
      </c>
      <c r="G275">
        <f>_xlfn.XLOOKUP($C275,Mapping!$D$2:$D$54,Mapping!G$2:G$54)</f>
        <v>-123.1202</v>
      </c>
    </row>
    <row r="276" spans="1:7">
      <c r="A276">
        <v>2023</v>
      </c>
      <c r="B276" s="3" t="str">
        <f>_xlfn.XLOOKUP(C276,Mapping!$A$2:$A$54,Mapping!$B$2:$B$54)</f>
        <v>Expo Line</v>
      </c>
      <c r="C276" t="s">
        <v>11</v>
      </c>
      <c r="D276">
        <v>1316917</v>
      </c>
      <c r="E276" t="str">
        <f>_xlfn.XLOOKUP(C276,Mapping!$D$2:$D$54,Mapping!$E$2:$E$54)</f>
        <v>New Westminster</v>
      </c>
      <c r="F276">
        <f>_xlfn.XLOOKUP($C276,Mapping!$D$2:$D$54,Mapping!F$2:F$54)</f>
        <v>49.204799999999999</v>
      </c>
      <c r="G276">
        <f>_xlfn.XLOOKUP($C276,Mapping!$D$2:$D$54,Mapping!G$2:G$54)</f>
        <v>-122.9061</v>
      </c>
    </row>
    <row r="277" spans="1:7">
      <c r="A277">
        <v>2023</v>
      </c>
      <c r="B277" s="3" t="str">
        <f>_xlfn.XLOOKUP(C277,Mapping!$A$2:$A$54,Mapping!$B$2:$B$54)</f>
        <v>Expo / Millennium Line</v>
      </c>
      <c r="C277" t="s">
        <v>44</v>
      </c>
      <c r="D277">
        <v>6227726</v>
      </c>
      <c r="E277" t="str">
        <f>_xlfn.XLOOKUP(C277,Mapping!$D$2:$D$54,Mapping!$E$2:$E$54)</f>
        <v>Vancouver</v>
      </c>
      <c r="F277">
        <f>_xlfn.XLOOKUP($C277,Mapping!$D$2:$D$54,Mapping!F$2:F$54)</f>
        <v>49.262500000000003</v>
      </c>
      <c r="G277">
        <f>_xlfn.XLOOKUP($C277,Mapping!$D$2:$D$54,Mapping!G$2:G$54)</f>
        <v>-123.0694</v>
      </c>
    </row>
    <row r="278" spans="1:7">
      <c r="A278">
        <v>2023</v>
      </c>
      <c r="B278" s="3" t="str">
        <f>_xlfn.XLOOKUP(C278,Mapping!$A$2:$A$54,Mapping!$B$2:$B$54)</f>
        <v>Millennium Line</v>
      </c>
      <c r="C278" t="s">
        <v>12</v>
      </c>
      <c r="D278">
        <v>1572330</v>
      </c>
      <c r="E278" t="str">
        <f>_xlfn.XLOOKUP(C278,Mapping!$D$2:$D$54,Mapping!$E$2:$E$54)</f>
        <v>Coquitlam</v>
      </c>
      <c r="F278">
        <f>_xlfn.XLOOKUP($C278,Mapping!$D$2:$D$54,Mapping!F$2:F$54)</f>
        <v>49.274000000000001</v>
      </c>
      <c r="G278">
        <f>_xlfn.XLOOKUP($C278,Mapping!$D$2:$D$54,Mapping!G$2:G$54)</f>
        <v>-122.7993</v>
      </c>
    </row>
    <row r="279" spans="1:7">
      <c r="A279">
        <v>2023</v>
      </c>
      <c r="B279" s="3" t="str">
        <f>_xlfn.XLOOKUP(C279,Mapping!$A$2:$A$54,Mapping!$B$2:$B$54)</f>
        <v>Expo Line</v>
      </c>
      <c r="C279" t="s">
        <v>13</v>
      </c>
      <c r="D279">
        <v>3388267</v>
      </c>
      <c r="E279" t="str">
        <f>_xlfn.XLOOKUP(C279,Mapping!$D$2:$D$54,Mapping!$E$2:$E$54)</f>
        <v>Burnaby</v>
      </c>
      <c r="F279">
        <f>_xlfn.XLOOKUP($C279,Mapping!$D$2:$D$54,Mapping!F$2:F$54)</f>
        <v>49.213799999999999</v>
      </c>
      <c r="G279">
        <f>_xlfn.XLOOKUP($C279,Mapping!$D$2:$D$54,Mapping!G$2:G$54)</f>
        <v>-122.9592</v>
      </c>
    </row>
    <row r="280" spans="1:7">
      <c r="A280">
        <v>2023</v>
      </c>
      <c r="B280" s="3" t="str">
        <f>_xlfn.XLOOKUP(C280,Mapping!$A$2:$A$54,Mapping!$B$2:$B$54)</f>
        <v>Expo Line</v>
      </c>
      <c r="C280" t="s">
        <v>14</v>
      </c>
      <c r="D280">
        <v>2045303</v>
      </c>
      <c r="E280" t="str">
        <f>_xlfn.XLOOKUP(C280,Mapping!$D$2:$D$54,Mapping!$E$2:$E$54)</f>
        <v>Surrey</v>
      </c>
      <c r="F280">
        <f>_xlfn.XLOOKUP($C280,Mapping!$D$2:$D$54,Mapping!F$2:F$54)</f>
        <v>49.198900000000002</v>
      </c>
      <c r="G280">
        <f>_xlfn.XLOOKUP($C280,Mapping!$D$2:$D$54,Mapping!G$2:G$54)</f>
        <v>-122.8507</v>
      </c>
    </row>
    <row r="281" spans="1:7">
      <c r="A281">
        <v>2023</v>
      </c>
      <c r="B281" s="3" t="str">
        <f>_xlfn.XLOOKUP(C281,Mapping!$A$2:$A$54,Mapping!$B$2:$B$54)</f>
        <v>Millennium Line</v>
      </c>
      <c r="C281" t="s">
        <v>15</v>
      </c>
      <c r="D281">
        <v>1036743</v>
      </c>
      <c r="E281" t="str">
        <f>_xlfn.XLOOKUP(C281,Mapping!$D$2:$D$54,Mapping!$E$2:$E$54)</f>
        <v>Burnaby</v>
      </c>
      <c r="F281">
        <f>_xlfn.XLOOKUP($C281,Mapping!$D$2:$D$54,Mapping!F$2:F$54)</f>
        <v>49.264899999999997</v>
      </c>
      <c r="G281">
        <f>_xlfn.XLOOKUP($C281,Mapping!$D$2:$D$54,Mapping!G$2:G$54)</f>
        <v>-123.01349999999999</v>
      </c>
    </row>
    <row r="282" spans="1:7">
      <c r="A282">
        <v>2023</v>
      </c>
      <c r="B282" s="3" t="str">
        <f>_xlfn.XLOOKUP(C282,Mapping!$A$2:$A$54,Mapping!$B$2:$B$54)</f>
        <v>Expo Line</v>
      </c>
      <c r="C282" t="s">
        <v>16</v>
      </c>
      <c r="D282">
        <v>5858590</v>
      </c>
      <c r="E282" t="str">
        <f>_xlfn.XLOOKUP(C282,Mapping!$D$2:$D$54,Mapping!$E$2:$E$54)</f>
        <v>Vancouver</v>
      </c>
      <c r="F282">
        <f>_xlfn.XLOOKUP($C282,Mapping!$D$2:$D$54,Mapping!F$2:F$54)</f>
        <v>49.283099999999997</v>
      </c>
      <c r="G282">
        <f>_xlfn.XLOOKUP($C282,Mapping!$D$2:$D$54,Mapping!G$2:G$54)</f>
        <v>-123.1161</v>
      </c>
    </row>
    <row r="283" spans="1:7">
      <c r="A283">
        <v>2023</v>
      </c>
      <c r="B283" s="3" t="str">
        <f>_xlfn.XLOOKUP(C283,Mapping!$A$2:$A$54,Mapping!$B$2:$B$54)</f>
        <v>Millennium Line</v>
      </c>
      <c r="C283" t="s">
        <v>17</v>
      </c>
      <c r="D283">
        <v>850945</v>
      </c>
      <c r="E283" t="str">
        <f>_xlfn.XLOOKUP(C283,Mapping!$D$2:$D$54,Mapping!$E$2:$E$54)</f>
        <v>Burnaby</v>
      </c>
      <c r="F283">
        <f>_xlfn.XLOOKUP($C283,Mapping!$D$2:$D$54,Mapping!F$2:F$54)</f>
        <v>49.264699999999998</v>
      </c>
      <c r="G283">
        <f>_xlfn.XLOOKUP($C283,Mapping!$D$2:$D$54,Mapping!G$2:G$54)</f>
        <v>-122.98220000000001</v>
      </c>
    </row>
    <row r="284" spans="1:7">
      <c r="A284">
        <v>2023</v>
      </c>
      <c r="B284" s="3" t="str">
        <f>_xlfn.XLOOKUP(C284,Mapping!$A$2:$A$54,Mapping!$B$2:$B$54)</f>
        <v>Millennium Line</v>
      </c>
      <c r="C284" t="s">
        <v>18</v>
      </c>
      <c r="D284">
        <v>634586</v>
      </c>
      <c r="E284" t="str">
        <f>_xlfn.XLOOKUP(C284,Mapping!$D$2:$D$54,Mapping!$E$2:$E$54)</f>
        <v>Port Moody</v>
      </c>
      <c r="F284">
        <f>_xlfn.XLOOKUP($C284,Mapping!$D$2:$D$54,Mapping!F$2:F$54)</f>
        <v>49.277700000000003</v>
      </c>
      <c r="G284">
        <f>_xlfn.XLOOKUP($C284,Mapping!$D$2:$D$54,Mapping!G$2:G$54)</f>
        <v>-122.82859999999999</v>
      </c>
    </row>
    <row r="285" spans="1:7">
      <c r="A285">
        <v>2023</v>
      </c>
      <c r="B285" s="3" t="str">
        <f>_xlfn.XLOOKUP(C285,Mapping!$A$2:$A$54,Mapping!$B$2:$B$54)</f>
        <v>Expo Line</v>
      </c>
      <c r="C285" t="s">
        <v>45</v>
      </c>
      <c r="D285">
        <v>5003434</v>
      </c>
      <c r="E285" t="str">
        <f>_xlfn.XLOOKUP(C285,Mapping!$D$2:$D$54,Mapping!$E$2:$E$54)</f>
        <v>Vancouver</v>
      </c>
      <c r="F285">
        <f>_xlfn.XLOOKUP($C285,Mapping!$D$2:$D$54,Mapping!F$2:F$54)</f>
        <v>49.238399999999999</v>
      </c>
      <c r="G285">
        <f>_xlfn.XLOOKUP($C285,Mapping!$D$2:$D$54,Mapping!G$2:G$54)</f>
        <v>-123.0318</v>
      </c>
    </row>
    <row r="286" spans="1:7">
      <c r="A286">
        <v>2023</v>
      </c>
      <c r="B286" s="3" t="str">
        <f>_xlfn.XLOOKUP(C286,Mapping!$A$2:$A$54,Mapping!$B$2:$B$54)</f>
        <v>Canada Line</v>
      </c>
      <c r="C286" t="s">
        <v>19</v>
      </c>
      <c r="D286">
        <v>2023559</v>
      </c>
      <c r="E286" t="str">
        <f>_xlfn.XLOOKUP(C286,Mapping!$D$2:$D$54,Mapping!$E$2:$E$54)</f>
        <v>Vancouver</v>
      </c>
      <c r="F286">
        <f>_xlfn.XLOOKUP($C286,Mapping!$D$2:$D$54,Mapping!F$2:F$54)</f>
        <v>49.249200000000002</v>
      </c>
      <c r="G286">
        <f>_xlfn.XLOOKUP($C286,Mapping!$D$2:$D$54,Mapping!G$2:G$54)</f>
        <v>-123.11579999999999</v>
      </c>
    </row>
    <row r="287" spans="1:7">
      <c r="A287">
        <v>2023</v>
      </c>
      <c r="B287" s="3" t="str">
        <f>_xlfn.XLOOKUP(C287,Mapping!$A$2:$A$54,Mapping!$B$2:$B$54)</f>
        <v>Expo Line</v>
      </c>
      <c r="C287" t="s">
        <v>20</v>
      </c>
      <c r="D287">
        <v>4618072</v>
      </c>
      <c r="E287" t="str">
        <f>_xlfn.XLOOKUP(C287,Mapping!$D$2:$D$54,Mapping!$E$2:$E$54)</f>
        <v>Surrey</v>
      </c>
      <c r="F287">
        <f>_xlfn.XLOOKUP($C287,Mapping!$D$2:$D$54,Mapping!F$2:F$54)</f>
        <v>49.182699999999997</v>
      </c>
      <c r="G287">
        <f>_xlfn.XLOOKUP($C287,Mapping!$D$2:$D$54,Mapping!G$2:G$54)</f>
        <v>-122.8451</v>
      </c>
    </row>
    <row r="288" spans="1:7">
      <c r="A288">
        <v>2023</v>
      </c>
      <c r="B288" s="3" t="str">
        <f>_xlfn.XLOOKUP(C288,Mapping!$A$2:$A$54,Mapping!$B$2:$B$54)</f>
        <v>Millennium Line</v>
      </c>
      <c r="C288" t="s">
        <v>21</v>
      </c>
      <c r="D288">
        <v>711498</v>
      </c>
      <c r="E288" t="str">
        <f>_xlfn.XLOOKUP(C288,Mapping!$D$2:$D$54,Mapping!$E$2:$E$54)</f>
        <v>Coquitlam</v>
      </c>
      <c r="F288">
        <f>_xlfn.XLOOKUP($C288,Mapping!$D$2:$D$54,Mapping!F$2:F$54)</f>
        <v>49.284700000000001</v>
      </c>
      <c r="G288">
        <f>_xlfn.XLOOKUP($C288,Mapping!$D$2:$D$54,Mapping!G$2:G$54)</f>
        <v>-122.78360000000001</v>
      </c>
    </row>
    <row r="289" spans="1:7">
      <c r="A289">
        <v>2023</v>
      </c>
      <c r="B289" s="3" t="str">
        <f>_xlfn.XLOOKUP(C289,Mapping!$A$2:$A$54,Mapping!$B$2:$B$54)</f>
        <v>Millennium Line</v>
      </c>
      <c r="C289" t="s">
        <v>22</v>
      </c>
      <c r="D289">
        <v>294202</v>
      </c>
      <c r="E289" t="str">
        <f>_xlfn.XLOOKUP(C289,Mapping!$D$2:$D$54,Mapping!$E$2:$E$54)</f>
        <v>Burnaby</v>
      </c>
      <c r="F289">
        <f>_xlfn.XLOOKUP($C289,Mapping!$D$2:$D$54,Mapping!F$2:F$54)</f>
        <v>49.254600000000003</v>
      </c>
      <c r="G289">
        <f>_xlfn.XLOOKUP($C289,Mapping!$D$2:$D$54,Mapping!G$2:G$54)</f>
        <v>-122.93770000000001</v>
      </c>
    </row>
    <row r="290" spans="1:7">
      <c r="A290">
        <v>2023</v>
      </c>
      <c r="B290" s="3" t="str">
        <f>_xlfn.XLOOKUP(C290,Mapping!$A$2:$A$54,Mapping!$B$2:$B$54)</f>
        <v>Canada Line</v>
      </c>
      <c r="C290" t="s">
        <v>46</v>
      </c>
      <c r="D290">
        <v>2405766</v>
      </c>
      <c r="E290" t="str">
        <f>_xlfn.XLOOKUP(C290,Mapping!$D$2:$D$54,Mapping!$E$2:$E$54)</f>
        <v>Vancouver</v>
      </c>
      <c r="F290">
        <f>_xlfn.XLOOKUP($C290,Mapping!$D$2:$D$54,Mapping!F$2:F$54)</f>
        <v>49.226300000000002</v>
      </c>
      <c r="G290">
        <f>_xlfn.XLOOKUP($C290,Mapping!$D$2:$D$54,Mapping!G$2:G$54)</f>
        <v>-123.1161</v>
      </c>
    </row>
    <row r="291" spans="1:7">
      <c r="A291">
        <v>2023</v>
      </c>
      <c r="B291" s="3" t="str">
        <f>_xlfn.XLOOKUP(C291,Mapping!$A$2:$A$54,Mapping!$B$2:$B$54)</f>
        <v>Canada Line</v>
      </c>
      <c r="C291" t="s">
        <v>23</v>
      </c>
      <c r="D291">
        <v>1457439</v>
      </c>
      <c r="E291" t="str">
        <f>_xlfn.XLOOKUP(C291,Mapping!$D$2:$D$54,Mapping!$E$2:$E$54)</f>
        <v>Richmond</v>
      </c>
      <c r="F291">
        <f>_xlfn.XLOOKUP($C291,Mapping!$D$2:$D$54,Mapping!F$2:F$54)</f>
        <v>49.174700000000001</v>
      </c>
      <c r="G291">
        <f>_xlfn.XLOOKUP($C291,Mapping!$D$2:$D$54,Mapping!G$2:G$54)</f>
        <v>-123.1362</v>
      </c>
    </row>
    <row r="292" spans="1:7">
      <c r="A292">
        <v>2023</v>
      </c>
      <c r="B292" s="3" t="str">
        <f>_xlfn.XLOOKUP(C292,Mapping!$A$2:$A$54,Mapping!$B$2:$B$54)</f>
        <v>Millennium Line</v>
      </c>
      <c r="C292" t="s">
        <v>24</v>
      </c>
      <c r="D292">
        <v>1173505</v>
      </c>
      <c r="E292" t="str">
        <f>_xlfn.XLOOKUP(C292,Mapping!$D$2:$D$54,Mapping!$E$2:$E$54)</f>
        <v>Coquitlam</v>
      </c>
      <c r="F292">
        <f>_xlfn.XLOOKUP($C292,Mapping!$D$2:$D$54,Mapping!F$2:F$54)</f>
        <v>49.28</v>
      </c>
      <c r="G292">
        <f>_xlfn.XLOOKUP($C292,Mapping!$D$2:$D$54,Mapping!G$2:G$54)</f>
        <v>-122.7933</v>
      </c>
    </row>
    <row r="293" spans="1:7">
      <c r="A293">
        <v>2023</v>
      </c>
      <c r="B293" s="3" t="str">
        <f>_xlfn.XLOOKUP(C293,Mapping!$A$2:$A$54,Mapping!$B$2:$B$54)</f>
        <v>Expo / Millennium Line</v>
      </c>
      <c r="C293" t="s">
        <v>25</v>
      </c>
      <c r="D293">
        <v>3684646</v>
      </c>
      <c r="E293" t="str">
        <f>_xlfn.XLOOKUP(C293,Mapping!$D$2:$D$54,Mapping!$E$2:$E$54)</f>
        <v>Burnaby</v>
      </c>
      <c r="F293">
        <f>_xlfn.XLOOKUP($C293,Mapping!$D$2:$D$54,Mapping!F$2:F$54)</f>
        <v>49.2483</v>
      </c>
      <c r="G293">
        <f>_xlfn.XLOOKUP($C293,Mapping!$D$2:$D$54,Mapping!G$2:G$54)</f>
        <v>-122.89700000000001</v>
      </c>
    </row>
    <row r="294" spans="1:7">
      <c r="A294">
        <v>2023</v>
      </c>
      <c r="B294" s="3" t="str">
        <f>_xlfn.XLOOKUP(C294,Mapping!$A$2:$A$54,Mapping!$B$2:$B$54)</f>
        <v>Expo Line</v>
      </c>
      <c r="C294" t="s">
        <v>47</v>
      </c>
      <c r="D294">
        <v>3768215</v>
      </c>
      <c r="E294" t="str">
        <f>_xlfn.XLOOKUP(C294,Mapping!$D$2:$D$54,Mapping!$E$2:$E$54)</f>
        <v>Vancouver</v>
      </c>
      <c r="F294">
        <f>_xlfn.XLOOKUP($C294,Mapping!$D$2:$D$54,Mapping!F$2:F$54)</f>
        <v>49.273200000000003</v>
      </c>
      <c r="G294">
        <f>_xlfn.XLOOKUP($C294,Mapping!$D$2:$D$54,Mapping!G$2:G$54)</f>
        <v>-123.1003</v>
      </c>
    </row>
    <row r="295" spans="1:7">
      <c r="A295">
        <v>2023</v>
      </c>
      <c r="B295" s="3" t="str">
        <f>_xlfn.XLOOKUP(C295,Mapping!$A$2:$A$54,Mapping!$B$2:$B$54)</f>
        <v>Canada Line</v>
      </c>
      <c r="C295" t="s">
        <v>26</v>
      </c>
      <c r="D295">
        <v>3278852</v>
      </c>
      <c r="E295" t="str">
        <f>_xlfn.XLOOKUP(C295,Mapping!$D$2:$D$54,Mapping!$E$2:$E$54)</f>
        <v>Vancouver</v>
      </c>
      <c r="F295">
        <f>_xlfn.XLOOKUP($C295,Mapping!$D$2:$D$54,Mapping!F$2:F$54)</f>
        <v>49.209800000000001</v>
      </c>
      <c r="G295">
        <f>_xlfn.XLOOKUP($C295,Mapping!$D$2:$D$54,Mapping!G$2:G$54)</f>
        <v>-123.1174</v>
      </c>
    </row>
    <row r="296" spans="1:7">
      <c r="A296">
        <v>2023</v>
      </c>
      <c r="B296" s="3" t="str">
        <f>_xlfn.XLOOKUP(C296,Mapping!$A$2:$A$54,Mapping!$B$2:$B$54)</f>
        <v>Expo Line</v>
      </c>
      <c r="C296" t="s">
        <v>27</v>
      </c>
      <c r="D296">
        <v>8216543</v>
      </c>
      <c r="E296" t="str">
        <f>_xlfn.XLOOKUP(C296,Mapping!$D$2:$D$54,Mapping!$E$2:$E$54)</f>
        <v>Burnaby</v>
      </c>
      <c r="F296">
        <f>_xlfn.XLOOKUP($C296,Mapping!$D$2:$D$54,Mapping!F$2:F$54)</f>
        <v>49.225700000000003</v>
      </c>
      <c r="G296">
        <f>_xlfn.XLOOKUP($C296,Mapping!$D$2:$D$54,Mapping!G$2:G$54)</f>
        <v>-123.0039</v>
      </c>
    </row>
    <row r="297" spans="1:7">
      <c r="A297">
        <v>2023</v>
      </c>
      <c r="B297" s="3" t="str">
        <f>_xlfn.XLOOKUP(C297,Mapping!$A$2:$A$54,Mapping!$B$2:$B$54)</f>
        <v>Millennium Line</v>
      </c>
      <c r="C297" t="s">
        <v>28</v>
      </c>
      <c r="D297">
        <v>751652</v>
      </c>
      <c r="E297" t="str">
        <f>_xlfn.XLOOKUP(C297,Mapping!$D$2:$D$54,Mapping!$E$2:$E$54)</f>
        <v>Port Moody</v>
      </c>
      <c r="F297">
        <f>_xlfn.XLOOKUP($C297,Mapping!$D$2:$D$54,Mapping!F$2:F$54)</f>
        <v>49.278300000000002</v>
      </c>
      <c r="G297">
        <f>_xlfn.XLOOKUP($C297,Mapping!$D$2:$D$54,Mapping!G$2:G$54)</f>
        <v>-122.845</v>
      </c>
    </row>
    <row r="298" spans="1:7">
      <c r="A298">
        <v>2023</v>
      </c>
      <c r="B298" s="3" t="str">
        <f>_xlfn.XLOOKUP(C298,Mapping!$A$2:$A$54,Mapping!$B$2:$B$54)</f>
        <v>Expo Line</v>
      </c>
      <c r="C298" t="s">
        <v>29</v>
      </c>
      <c r="D298">
        <v>2183164</v>
      </c>
      <c r="E298" t="str">
        <f>_xlfn.XLOOKUP(C298,Mapping!$D$2:$D$54,Mapping!$E$2:$E$54)</f>
        <v>Vancouver</v>
      </c>
      <c r="F298">
        <f>_xlfn.XLOOKUP($C298,Mapping!$D$2:$D$54,Mapping!F$2:F$54)</f>
        <v>49.2483</v>
      </c>
      <c r="G298">
        <f>_xlfn.XLOOKUP($C298,Mapping!$D$2:$D$54,Mapping!G$2:G$54)</f>
        <v>-123.05589999999999</v>
      </c>
    </row>
    <row r="299" spans="1:7">
      <c r="A299">
        <v>2023</v>
      </c>
      <c r="B299" s="3" t="str">
        <f>_xlfn.XLOOKUP(C299,Mapping!$A$2:$A$54,Mapping!$B$2:$B$54)</f>
        <v>Expo Line</v>
      </c>
      <c r="C299" t="s">
        <v>30</v>
      </c>
      <c r="D299">
        <v>4408704</v>
      </c>
      <c r="E299" t="str">
        <f>_xlfn.XLOOKUP(C299,Mapping!$D$2:$D$54,Mapping!$E$2:$E$54)</f>
        <v>New Westminster</v>
      </c>
      <c r="F299">
        <f>_xlfn.XLOOKUP($C299,Mapping!$D$2:$D$54,Mapping!F$2:F$54)</f>
        <v>49.201500000000003</v>
      </c>
      <c r="G299">
        <f>_xlfn.XLOOKUP($C299,Mapping!$D$2:$D$54,Mapping!G$2:G$54)</f>
        <v>-122.9126</v>
      </c>
    </row>
    <row r="300" spans="1:7">
      <c r="A300">
        <v>2023</v>
      </c>
      <c r="B300" s="3" t="str">
        <f>_xlfn.XLOOKUP(C300,Mapping!$A$2:$A$54,Mapping!$B$2:$B$54)</f>
        <v>Canada Line</v>
      </c>
      <c r="C300" t="s">
        <v>48</v>
      </c>
      <c r="D300">
        <v>2312398</v>
      </c>
      <c r="E300" t="str">
        <f>_xlfn.XLOOKUP(C300,Mapping!$D$2:$D$54,Mapping!$E$2:$E$54)</f>
        <v>Vancouver</v>
      </c>
      <c r="F300">
        <f>_xlfn.XLOOKUP($C300,Mapping!$D$2:$D$54,Mapping!F$2:F$54)</f>
        <v>49.232999999999997</v>
      </c>
      <c r="G300">
        <f>_xlfn.XLOOKUP($C300,Mapping!$D$2:$D$54,Mapping!G$2:G$54)</f>
        <v>-123.1161</v>
      </c>
    </row>
    <row r="301" spans="1:7">
      <c r="A301">
        <v>2023</v>
      </c>
      <c r="B301" s="3" t="str">
        <f>_xlfn.XLOOKUP(C301,Mapping!$A$2:$A$54,Mapping!$B$2:$B$54)</f>
        <v>Canada Line</v>
      </c>
      <c r="C301" t="s">
        <v>31</v>
      </c>
      <c r="D301">
        <v>1205459</v>
      </c>
      <c r="E301" t="str">
        <f>_xlfn.XLOOKUP(C301,Mapping!$D$2:$D$54,Mapping!$E$2:$E$54)</f>
        <v>Vancouver</v>
      </c>
      <c r="F301">
        <f>_xlfn.XLOOKUP($C301,Mapping!$D$2:$D$54,Mapping!F$2:F$54)</f>
        <v>49.266500000000001</v>
      </c>
      <c r="G301">
        <f>_xlfn.XLOOKUP($C301,Mapping!$D$2:$D$54,Mapping!G$2:G$54)</f>
        <v>-123.1156</v>
      </c>
    </row>
    <row r="302" spans="1:7">
      <c r="A302">
        <v>2023</v>
      </c>
      <c r="B302" s="3" t="str">
        <f>_xlfn.XLOOKUP(C302,Mapping!$A$2:$A$54,Mapping!$B$2:$B$54)</f>
        <v>Expo Line</v>
      </c>
      <c r="C302" t="s">
        <v>32</v>
      </c>
      <c r="D302">
        <v>1332951</v>
      </c>
      <c r="E302" t="str">
        <f>_xlfn.XLOOKUP(C302,Mapping!$D$2:$D$54,Mapping!$E$2:$E$54)</f>
        <v>Burnaby</v>
      </c>
      <c r="F302">
        <f>_xlfn.XLOOKUP($C302,Mapping!$D$2:$D$54,Mapping!F$2:F$54)</f>
        <v>49.229700000000001</v>
      </c>
      <c r="G302">
        <f>_xlfn.XLOOKUP($C302,Mapping!$D$2:$D$54,Mapping!G$2:G$54)</f>
        <v>-123.01260000000001</v>
      </c>
    </row>
    <row r="303" spans="1:7">
      <c r="A303">
        <v>2023</v>
      </c>
      <c r="B303" s="3" t="str">
        <f>_xlfn.XLOOKUP(C303,Mapping!$A$2:$A$54,Mapping!$B$2:$B$54)</f>
        <v>Expo / Millennium Line</v>
      </c>
      <c r="C303" t="s">
        <v>49</v>
      </c>
      <c r="D303">
        <v>1437385</v>
      </c>
      <c r="E303" t="str">
        <f>_xlfn.XLOOKUP(C303,Mapping!$D$2:$D$54,Mapping!$E$2:$E$54)</f>
        <v>Burnaby</v>
      </c>
      <c r="F303">
        <f>_xlfn.XLOOKUP($C303,Mapping!$D$2:$D$54,Mapping!F$2:F$54)</f>
        <v>49.253300000000003</v>
      </c>
      <c r="G303">
        <f>_xlfn.XLOOKUP($C303,Mapping!$D$2:$D$54,Mapping!G$2:G$54)</f>
        <v>-122.91800000000001</v>
      </c>
    </row>
    <row r="304" spans="1:7">
      <c r="A304">
        <v>2023</v>
      </c>
      <c r="B304" s="3" t="str">
        <f>_xlfn.XLOOKUP(C304,Mapping!$A$2:$A$54,Mapping!$B$2:$B$54)</f>
        <v>Millennium Line</v>
      </c>
      <c r="C304" t="s">
        <v>33</v>
      </c>
      <c r="D304">
        <v>1087763</v>
      </c>
      <c r="E304" t="str">
        <f>_xlfn.XLOOKUP(C304,Mapping!$D$2:$D$54,Mapping!$E$2:$E$54)</f>
        <v>Vancouver</v>
      </c>
      <c r="F304">
        <f>_xlfn.XLOOKUP($C304,Mapping!$D$2:$D$54,Mapping!F$2:F$54)</f>
        <v>49.258800000000001</v>
      </c>
      <c r="G304">
        <f>_xlfn.XLOOKUP($C304,Mapping!$D$2:$D$54,Mapping!G$2:G$54)</f>
        <v>-123.0453</v>
      </c>
    </row>
    <row r="305" spans="1:7">
      <c r="A305">
        <v>2023</v>
      </c>
      <c r="B305" s="3" t="str">
        <f>_xlfn.XLOOKUP(C305,Mapping!$A$2:$A$54,Mapping!$B$2:$B$54)</f>
        <v>Canada Line</v>
      </c>
      <c r="C305" t="s">
        <v>50</v>
      </c>
      <c r="D305">
        <v>3452893</v>
      </c>
      <c r="E305" t="str">
        <f>_xlfn.XLOOKUP(C305,Mapping!$D$2:$D$54,Mapping!$E$2:$E$54)</f>
        <v>Richmond</v>
      </c>
      <c r="F305">
        <f>_xlfn.XLOOKUP($C305,Mapping!$D$2:$D$54,Mapping!F$2:F$54)</f>
        <v>49.168100000000003</v>
      </c>
      <c r="G305">
        <f>_xlfn.XLOOKUP($C305,Mapping!$D$2:$D$54,Mapping!G$2:G$54)</f>
        <v>-123.1362</v>
      </c>
    </row>
    <row r="306" spans="1:7">
      <c r="A306">
        <v>2023</v>
      </c>
      <c r="B306" s="3" t="str">
        <f>_xlfn.XLOOKUP(C306,Mapping!$A$2:$A$54,Mapping!$B$2:$B$54)</f>
        <v>Expo Line</v>
      </c>
      <c r="C306" t="s">
        <v>34</v>
      </c>
      <c r="D306">
        <v>1729793</v>
      </c>
      <c r="E306" t="str">
        <f>_xlfn.XLOOKUP(C306,Mapping!$D$2:$D$54,Mapping!$E$2:$E$54)</f>
        <v>Burnaby</v>
      </c>
      <c r="F306">
        <f>_xlfn.XLOOKUP($C306,Mapping!$D$2:$D$54,Mapping!F$2:F$54)</f>
        <v>49.220100000000002</v>
      </c>
      <c r="G306">
        <f>_xlfn.XLOOKUP($C306,Mapping!$D$2:$D$54,Mapping!G$2:G$54)</f>
        <v>-122.9884</v>
      </c>
    </row>
    <row r="307" spans="1:7">
      <c r="A307">
        <v>2023</v>
      </c>
      <c r="B307" s="3" t="str">
        <f>_xlfn.XLOOKUP(C307,Mapping!$A$2:$A$54,Mapping!$B$2:$B$54)</f>
        <v>Millennium Line</v>
      </c>
      <c r="C307" t="s">
        <v>35</v>
      </c>
      <c r="D307">
        <v>825659</v>
      </c>
      <c r="E307" t="str">
        <f>_xlfn.XLOOKUP(C307,Mapping!$D$2:$D$54,Mapping!$E$2:$E$54)</f>
        <v>Vancouver</v>
      </c>
      <c r="F307">
        <f>_xlfn.XLOOKUP($C307,Mapping!$D$2:$D$54,Mapping!F$2:F$54)</f>
        <v>49.258800000000001</v>
      </c>
      <c r="G307">
        <f>_xlfn.XLOOKUP($C307,Mapping!$D$2:$D$54,Mapping!G$2:G$54)</f>
        <v>-123.02670000000001</v>
      </c>
    </row>
    <row r="308" spans="1:7">
      <c r="A308">
        <v>2023</v>
      </c>
      <c r="B308" s="3" t="str">
        <f>_xlfn.XLOOKUP(C308,Mapping!$A$2:$A$54,Mapping!$B$2:$B$54)</f>
        <v>Expo Line</v>
      </c>
      <c r="C308" t="s">
        <v>36</v>
      </c>
      <c r="D308">
        <v>890112</v>
      </c>
      <c r="E308" t="str">
        <f>_xlfn.XLOOKUP(C308,Mapping!$D$2:$D$54,Mapping!$E$2:$E$54)</f>
        <v>New Westminster</v>
      </c>
      <c r="F308">
        <f>_xlfn.XLOOKUP($C308,Mapping!$D$2:$D$54,Mapping!F$2:F$54)</f>
        <v>49.2254</v>
      </c>
      <c r="G308">
        <f>_xlfn.XLOOKUP($C308,Mapping!$D$2:$D$54,Mapping!G$2:G$54)</f>
        <v>-122.88639999999999</v>
      </c>
    </row>
    <row r="309" spans="1:7">
      <c r="A309">
        <v>2023</v>
      </c>
      <c r="B309" s="3" t="str">
        <f>_xlfn.XLOOKUP(C309,Mapping!$A$2:$A$54,Mapping!$B$2:$B$54)</f>
        <v>Expo Line</v>
      </c>
      <c r="C309" t="s">
        <v>37</v>
      </c>
      <c r="D309">
        <v>3466407</v>
      </c>
      <c r="E309" t="str">
        <f>_xlfn.XLOOKUP(C309,Mapping!$D$2:$D$54,Mapping!$E$2:$E$54)</f>
        <v>Surrey</v>
      </c>
      <c r="F309">
        <f>_xlfn.XLOOKUP($C309,Mapping!$D$2:$D$54,Mapping!F$2:F$54)</f>
        <v>49.2044</v>
      </c>
      <c r="G309">
        <f>_xlfn.XLOOKUP($C309,Mapping!$D$2:$D$54,Mapping!G$2:G$54)</f>
        <v>-122.87430000000001</v>
      </c>
    </row>
    <row r="310" spans="1:7">
      <c r="A310">
        <v>2023</v>
      </c>
      <c r="B310" s="3" t="str">
        <f>_xlfn.XLOOKUP(C310,Mapping!$A$2:$A$54,Mapping!$B$2:$B$54)</f>
        <v>Canada Line</v>
      </c>
      <c r="C310" t="s">
        <v>38</v>
      </c>
      <c r="D310">
        <v>312181</v>
      </c>
      <c r="E310" t="str">
        <f>_xlfn.XLOOKUP(C310,Mapping!$D$2:$D$54,Mapping!$E$2:$E$54)</f>
        <v>Richmond</v>
      </c>
      <c r="F310">
        <f>_xlfn.XLOOKUP($C310,Mapping!$D$2:$D$54,Mapping!F$2:F$54)</f>
        <v>49.193100000000001</v>
      </c>
      <c r="G310">
        <f>_xlfn.XLOOKUP($C310,Mapping!$D$2:$D$54,Mapping!G$2:G$54)</f>
        <v>-123.1553</v>
      </c>
    </row>
    <row r="311" spans="1:7">
      <c r="A311">
        <v>2023</v>
      </c>
      <c r="B311" s="3" t="str">
        <f>_xlfn.XLOOKUP(C311,Mapping!$A$2:$A$54,Mapping!$B$2:$B$54)</f>
        <v>Millennium Line</v>
      </c>
      <c r="C311" t="s">
        <v>51</v>
      </c>
      <c r="D311">
        <v>592103</v>
      </c>
      <c r="E311" t="str">
        <f>_xlfn.XLOOKUP(C311,Mapping!$D$2:$D$54,Mapping!$E$2:$E$54)</f>
        <v>Burnaby</v>
      </c>
      <c r="F311">
        <f>_xlfn.XLOOKUP($C311,Mapping!$D$2:$D$54,Mapping!F$2:F$54)</f>
        <v>49.2592</v>
      </c>
      <c r="G311">
        <f>_xlfn.XLOOKUP($C311,Mapping!$D$2:$D$54,Mapping!G$2:G$54)</f>
        <v>-122.96420000000001</v>
      </c>
    </row>
    <row r="312" spans="1:7">
      <c r="A312">
        <v>2023</v>
      </c>
      <c r="B312" s="3" t="str">
        <f>_xlfn.XLOOKUP(C312,Mapping!$A$2:$A$54,Mapping!$B$2:$B$54)</f>
        <v>Expo Line</v>
      </c>
      <c r="C312" t="s">
        <v>52</v>
      </c>
      <c r="D312">
        <v>4444380</v>
      </c>
      <c r="E312" t="str">
        <f>_xlfn.XLOOKUP(C312,Mapping!$D$2:$D$54,Mapping!$E$2:$E$54)</f>
        <v>Vancouver</v>
      </c>
      <c r="F312">
        <f>_xlfn.XLOOKUP($C312,Mapping!$D$2:$D$54,Mapping!F$2:F$54)</f>
        <v>49.279600000000002</v>
      </c>
      <c r="G312">
        <f>_xlfn.XLOOKUP($C312,Mapping!$D$2:$D$54,Mapping!G$2:G$54)</f>
        <v>-123.10980000000001</v>
      </c>
    </row>
    <row r="313" spans="1:7">
      <c r="A313">
        <v>2023</v>
      </c>
      <c r="B313" s="3" t="str">
        <f>_xlfn.XLOOKUP(C313,Mapping!$A$2:$A$54,Mapping!$B$2:$B$54)</f>
        <v>Expo Line</v>
      </c>
      <c r="C313" t="s">
        <v>39</v>
      </c>
      <c r="D313">
        <v>4923461</v>
      </c>
      <c r="E313" t="str">
        <f>_xlfn.XLOOKUP(C313,Mapping!$D$2:$D$54,Mapping!$E$2:$E$54)</f>
        <v>Surrey</v>
      </c>
      <c r="F313">
        <f>_xlfn.XLOOKUP($C313,Mapping!$D$2:$D$54,Mapping!F$2:F$54)</f>
        <v>49.189599999999999</v>
      </c>
      <c r="G313">
        <f>_xlfn.XLOOKUP($C313,Mapping!$D$2:$D$54,Mapping!G$2:G$54)</f>
        <v>-122.8479</v>
      </c>
    </row>
    <row r="314" spans="1:7">
      <c r="A314">
        <v>2023</v>
      </c>
      <c r="B314" s="3" t="str">
        <f>_xlfn.XLOOKUP(C314,Mapping!$A$2:$A$54,Mapping!$B$2:$B$54)</f>
        <v>Canada Line</v>
      </c>
      <c r="C314" t="s">
        <v>40</v>
      </c>
      <c r="D314">
        <v>1268955</v>
      </c>
      <c r="E314" t="str">
        <f>_xlfn.XLOOKUP(C314,Mapping!$D$2:$D$54,Mapping!$E$2:$E$54)</f>
        <v>Richmond</v>
      </c>
      <c r="F314">
        <f>_xlfn.XLOOKUP($C314,Mapping!$D$2:$D$54,Mapping!F$2:F$54)</f>
        <v>49.196300000000001</v>
      </c>
      <c r="G314">
        <f>_xlfn.XLOOKUP($C314,Mapping!$D$2:$D$54,Mapping!G$2:G$54)</f>
        <v>-123.1465</v>
      </c>
    </row>
    <row r="315" spans="1:7">
      <c r="A315">
        <v>2023</v>
      </c>
      <c r="B315" s="3" t="str">
        <f>_xlfn.XLOOKUP(C315,Mapping!$A$2:$A$54,Mapping!$B$2:$B$54)</f>
        <v>Millennium Line</v>
      </c>
      <c r="C315" t="s">
        <v>53</v>
      </c>
      <c r="D315">
        <v>815852</v>
      </c>
      <c r="E315" t="str">
        <f>_xlfn.XLOOKUP(C315,Mapping!$D$2:$D$54,Mapping!$E$2:$E$54)</f>
        <v>Vancouver</v>
      </c>
      <c r="F315">
        <f>_xlfn.XLOOKUP($C315,Mapping!$D$2:$D$54,Mapping!F$2:F$54)</f>
        <v>49.265799999999999</v>
      </c>
      <c r="G315">
        <f>_xlfn.XLOOKUP($C315,Mapping!$D$2:$D$54,Mapping!G$2:G$54)</f>
        <v>-123.0792</v>
      </c>
    </row>
    <row r="316" spans="1:7">
      <c r="A316">
        <v>2023</v>
      </c>
      <c r="B316" s="3" t="str">
        <f>_xlfn.XLOOKUP(C316,Mapping!$A$2:$A$54,Mapping!$B$2:$B$54)</f>
        <v>Canada Line</v>
      </c>
      <c r="C316" t="s">
        <v>41</v>
      </c>
      <c r="D316">
        <v>4753925</v>
      </c>
      <c r="E316" t="str">
        <f>_xlfn.XLOOKUP(C316,Mapping!$D$2:$D$54,Mapping!$E$2:$E$54)</f>
        <v>Vancouver</v>
      </c>
      <c r="F316">
        <f>_xlfn.XLOOKUP($C316,Mapping!$D$2:$D$54,Mapping!F$2:F$54)</f>
        <v>49.282499999999999</v>
      </c>
      <c r="G316">
        <f>_xlfn.XLOOKUP($C316,Mapping!$D$2:$D$54,Mapping!G$2:G$54)</f>
        <v>-123.1185</v>
      </c>
    </row>
    <row r="317" spans="1:7">
      <c r="A317">
        <v>2023</v>
      </c>
      <c r="B317" s="3" t="str">
        <f>_xlfn.XLOOKUP(C317,Mapping!$A$2:$A$54,Mapping!$B$2:$B$54)</f>
        <v>Expo / Canada Line</v>
      </c>
      <c r="C317" t="s">
        <v>42</v>
      </c>
      <c r="D317">
        <v>9893373</v>
      </c>
      <c r="E317" t="str">
        <f>_xlfn.XLOOKUP(C317,Mapping!$D$2:$D$54,Mapping!$E$2:$E$54)</f>
        <v>Vancouver</v>
      </c>
      <c r="F317">
        <f>_xlfn.XLOOKUP($C317,Mapping!$D$2:$D$54,Mapping!F$2:F$54)</f>
        <v>49.285899999999998</v>
      </c>
      <c r="G317">
        <f>_xlfn.XLOOKUP($C317,Mapping!$D$2:$D$54,Mapping!G$2:G$54)</f>
        <v>-123.1118</v>
      </c>
    </row>
    <row r="318" spans="1:7">
      <c r="A318">
        <v>2023</v>
      </c>
      <c r="B318" s="3" t="str">
        <f>_xlfn.XLOOKUP(C318,Mapping!$A$2:$A$54,Mapping!$B$2:$B$54)</f>
        <v>Canada Line</v>
      </c>
      <c r="C318" t="s">
        <v>55</v>
      </c>
      <c r="D318">
        <v>2810452</v>
      </c>
      <c r="E318" t="str">
        <f>_xlfn.XLOOKUP(C318,Mapping!$D$2:$D$54,Mapping!$E$2:$E$54)</f>
        <v>Richmond</v>
      </c>
      <c r="F318">
        <f>_xlfn.XLOOKUP($C318,Mapping!$D$2:$D$54,Mapping!F$2:F$54)</f>
        <v>49.193899999999999</v>
      </c>
      <c r="G318">
        <f>_xlfn.XLOOKUP($C318,Mapping!$D$2:$D$54,Mapping!G$2:G$54)</f>
        <v>-123.1765</v>
      </c>
    </row>
    <row r="319" spans="1:7">
      <c r="A319">
        <v>2023</v>
      </c>
      <c r="B319" s="3" t="str">
        <f>_xlfn.XLOOKUP(C319,Mapping!$A$2:$A$54,Mapping!$B$2:$B$54)</f>
        <v>Canada Line</v>
      </c>
      <c r="C319" t="s">
        <v>54</v>
      </c>
      <c r="D319">
        <v>2981916</v>
      </c>
      <c r="E319" t="str">
        <f>_xlfn.XLOOKUP(C319,Mapping!$D$2:$D$54,Mapping!$E$2:$E$54)</f>
        <v>Vancouver</v>
      </c>
      <c r="F319">
        <f>_xlfn.XLOOKUP($C319,Mapping!$D$2:$D$54,Mapping!F$2:F$54)</f>
        <v>49.274500000000003</v>
      </c>
      <c r="G319">
        <f>_xlfn.XLOOKUP($C319,Mapping!$D$2:$D$54,Mapping!G$2:G$54)</f>
        <v>-123.1219</v>
      </c>
    </row>
    <row r="320" spans="1:7">
      <c r="A320">
        <v>2024</v>
      </c>
      <c r="B320" s="3" t="str">
        <f>_xlfn.XLOOKUP(C320,Mapping!$A$2:$A$54,Mapping!$B$2:$B$54)</f>
        <v>Expo Line</v>
      </c>
      <c r="C320" t="s">
        <v>3</v>
      </c>
      <c r="D320">
        <v>3429015</v>
      </c>
      <c r="E320" t="str">
        <f>_xlfn.XLOOKUP(C320,Mapping!$D$2:$D$54,Mapping!$E$2:$E$54)</f>
        <v>New Westminster</v>
      </c>
      <c r="F320">
        <f>_xlfn.XLOOKUP($C320,Mapping!$D$2:$D$54,Mapping!F$2:F$54)</f>
        <v>49.2</v>
      </c>
      <c r="G320">
        <f>_xlfn.XLOOKUP($C320,Mapping!$D$2:$D$54,Mapping!G$2:G$54)</f>
        <v>-122.949</v>
      </c>
    </row>
    <row r="321" spans="1:7">
      <c r="A321">
        <v>2024</v>
      </c>
      <c r="B321" s="3" t="str">
        <f>_xlfn.XLOOKUP(C321,Mapping!$A$2:$A$54,Mapping!$B$2:$B$54)</f>
        <v>Expo Line</v>
      </c>
      <c r="C321" t="s">
        <v>4</v>
      </c>
      <c r="D321">
        <v>2277917</v>
      </c>
      <c r="E321" t="str">
        <f>_xlfn.XLOOKUP(C321,Mapping!$D$2:$D$54,Mapping!$E$2:$E$54)</f>
        <v>Vancouver</v>
      </c>
      <c r="F321">
        <f>_xlfn.XLOOKUP($C321,Mapping!$D$2:$D$54,Mapping!F$2:F$54)</f>
        <v>49.244300000000003</v>
      </c>
      <c r="G321">
        <f>_xlfn.XLOOKUP($C321,Mapping!$D$2:$D$54,Mapping!G$2:G$54)</f>
        <v>-123.045</v>
      </c>
    </row>
    <row r="322" spans="1:7">
      <c r="A322">
        <v>2024</v>
      </c>
      <c r="B322" s="3" t="str">
        <f>_xlfn.XLOOKUP(C322,Mapping!$A$2:$A$54,Mapping!$B$2:$B$54)</f>
        <v>Canada Line</v>
      </c>
      <c r="C322" t="s">
        <v>5</v>
      </c>
      <c r="D322">
        <v>1364789</v>
      </c>
      <c r="E322" t="str">
        <f>_xlfn.XLOOKUP(C322,Mapping!$D$2:$D$54,Mapping!$E$2:$E$54)</f>
        <v>Richmond</v>
      </c>
      <c r="F322">
        <f>_xlfn.XLOOKUP($C322,Mapping!$D$2:$D$54,Mapping!F$2:F$54)</f>
        <v>49.1843</v>
      </c>
      <c r="G322">
        <f>_xlfn.XLOOKUP($C322,Mapping!$D$2:$D$54,Mapping!G$2:G$54)</f>
        <v>-123.1362</v>
      </c>
    </row>
    <row r="323" spans="1:7">
      <c r="A323">
        <v>2024</v>
      </c>
      <c r="B323" s="3" t="str">
        <f>_xlfn.XLOOKUP(C323,Mapping!$A$2:$A$54,Mapping!$B$2:$B$54)</f>
        <v>Expo Line</v>
      </c>
      <c r="C323" t="s">
        <v>6</v>
      </c>
      <c r="D323">
        <v>1469275</v>
      </c>
      <c r="E323" t="str">
        <f>_xlfn.XLOOKUP(C323,Mapping!$D$2:$D$54,Mapping!$E$2:$E$54)</f>
        <v>New Westminster</v>
      </c>
      <c r="F323">
        <f>_xlfn.XLOOKUP($C323,Mapping!$D$2:$D$54,Mapping!F$2:F$54)</f>
        <v>49.232999999999997</v>
      </c>
      <c r="G323">
        <f>_xlfn.XLOOKUP($C323,Mapping!$D$2:$D$54,Mapping!G$2:G$54)</f>
        <v>-122.8828</v>
      </c>
    </row>
    <row r="324" spans="1:7">
      <c r="A324">
        <v>2024</v>
      </c>
      <c r="B324" s="3" t="str">
        <f>_xlfn.XLOOKUP(C324,Mapping!$A$2:$A$54,Mapping!$B$2:$B$54)</f>
        <v>Millennium Line</v>
      </c>
      <c r="C324" t="s">
        <v>7</v>
      </c>
      <c r="D324">
        <v>2284334</v>
      </c>
      <c r="E324" t="str">
        <f>_xlfn.XLOOKUP(C324,Mapping!$D$2:$D$54,Mapping!$E$2:$E$54)</f>
        <v>Burnaby</v>
      </c>
      <c r="F324">
        <f>_xlfn.XLOOKUP($C324,Mapping!$D$2:$D$54,Mapping!F$2:F$54)</f>
        <v>49.266199999999998</v>
      </c>
      <c r="G324">
        <f>_xlfn.XLOOKUP($C324,Mapping!$D$2:$D$54,Mapping!G$2:G$54)</f>
        <v>-123.0016</v>
      </c>
    </row>
    <row r="325" spans="1:7">
      <c r="A325">
        <v>2024</v>
      </c>
      <c r="B325" s="3" t="str">
        <f>_xlfn.XLOOKUP(C325,Mapping!$A$2:$A$54,Mapping!$B$2:$B$54)</f>
        <v>Canada Line</v>
      </c>
      <c r="C325" t="s">
        <v>8</v>
      </c>
      <c r="D325">
        <v>3287704</v>
      </c>
      <c r="E325" t="str">
        <f>_xlfn.XLOOKUP(C325,Mapping!$D$2:$D$54,Mapping!$E$2:$E$54)</f>
        <v>Richmond</v>
      </c>
      <c r="F325">
        <f>_xlfn.XLOOKUP($C325,Mapping!$D$2:$D$54,Mapping!F$2:F$54)</f>
        <v>49.192500000000003</v>
      </c>
      <c r="G325">
        <f>_xlfn.XLOOKUP($C325,Mapping!$D$2:$D$54,Mapping!G$2:G$54)</f>
        <v>-123.1264</v>
      </c>
    </row>
    <row r="326" spans="1:7">
      <c r="A326">
        <v>2024</v>
      </c>
      <c r="B326" s="3" t="str">
        <f>_xlfn.XLOOKUP(C326,Mapping!$A$2:$A$54,Mapping!$B$2:$B$54)</f>
        <v>Canada Line</v>
      </c>
      <c r="C326" t="s">
        <v>43</v>
      </c>
      <c r="D326">
        <v>3535080</v>
      </c>
      <c r="E326" t="str">
        <f>_xlfn.XLOOKUP(C326,Mapping!$D$2:$D$54,Mapping!$E$2:$E$54)</f>
        <v>Vancouver</v>
      </c>
      <c r="F326">
        <f>_xlfn.XLOOKUP($C326,Mapping!$D$2:$D$54,Mapping!F$2:F$54)</f>
        <v>49.263100000000001</v>
      </c>
      <c r="G326">
        <f>_xlfn.XLOOKUP($C326,Mapping!$D$2:$D$54,Mapping!G$2:G$54)</f>
        <v>-123.1147</v>
      </c>
    </row>
    <row r="327" spans="1:7">
      <c r="A327">
        <v>2024</v>
      </c>
      <c r="B327" s="3" t="str">
        <f>_xlfn.XLOOKUP(C327,Mapping!$A$2:$A$54,Mapping!$B$2:$B$54)</f>
        <v>Millennium Line</v>
      </c>
      <c r="C327" t="s">
        <v>9</v>
      </c>
      <c r="D327">
        <v>1569973</v>
      </c>
      <c r="E327" t="str">
        <f>_xlfn.XLOOKUP(C327,Mapping!$D$2:$D$54,Mapping!$E$2:$E$54)</f>
        <v>Coquitlam</v>
      </c>
      <c r="F327">
        <f>_xlfn.XLOOKUP($C327,Mapping!$D$2:$D$54,Mapping!F$2:F$54)</f>
        <v>49.261800000000001</v>
      </c>
      <c r="G327">
        <f>_xlfn.XLOOKUP($C327,Mapping!$D$2:$D$54,Mapping!G$2:G$54)</f>
        <v>-122.88979999999999</v>
      </c>
    </row>
    <row r="328" spans="1:7">
      <c r="A328">
        <v>2024</v>
      </c>
      <c r="B328" s="3" t="str">
        <f>_xlfn.XLOOKUP(C328,Mapping!$A$2:$A$54,Mapping!$B$2:$B$54)</f>
        <v>Expo Line</v>
      </c>
      <c r="C328" t="s">
        <v>10</v>
      </c>
      <c r="D328">
        <v>6003131</v>
      </c>
      <c r="E328" t="str">
        <f>_xlfn.XLOOKUP(C328,Mapping!$D$2:$D$54,Mapping!$E$2:$E$54)</f>
        <v>Vancouver</v>
      </c>
      <c r="F328">
        <f>_xlfn.XLOOKUP($C328,Mapping!$D$2:$D$54,Mapping!F$2:F$54)</f>
        <v>49.285600000000002</v>
      </c>
      <c r="G328">
        <f>_xlfn.XLOOKUP($C328,Mapping!$D$2:$D$54,Mapping!G$2:G$54)</f>
        <v>-123.1202</v>
      </c>
    </row>
    <row r="329" spans="1:7">
      <c r="A329">
        <v>2024</v>
      </c>
      <c r="B329" s="3" t="str">
        <f>_xlfn.XLOOKUP(C329,Mapping!$A$2:$A$54,Mapping!$B$2:$B$54)</f>
        <v>Expo Line</v>
      </c>
      <c r="C329" t="s">
        <v>11</v>
      </c>
      <c r="D329">
        <v>1434886</v>
      </c>
      <c r="E329" t="str">
        <f>_xlfn.XLOOKUP(C329,Mapping!$D$2:$D$54,Mapping!$E$2:$E$54)</f>
        <v>New Westminster</v>
      </c>
      <c r="F329">
        <f>_xlfn.XLOOKUP($C329,Mapping!$D$2:$D$54,Mapping!F$2:F$54)</f>
        <v>49.204799999999999</v>
      </c>
      <c r="G329">
        <f>_xlfn.XLOOKUP($C329,Mapping!$D$2:$D$54,Mapping!G$2:G$54)</f>
        <v>-122.9061</v>
      </c>
    </row>
    <row r="330" spans="1:7">
      <c r="A330">
        <v>2024</v>
      </c>
      <c r="B330" s="3" t="str">
        <f>_xlfn.XLOOKUP(C330,Mapping!$A$2:$A$54,Mapping!$B$2:$B$54)</f>
        <v>Expo / Millennium Line</v>
      </c>
      <c r="C330" t="s">
        <v>44</v>
      </c>
      <c r="D330">
        <v>6757027</v>
      </c>
      <c r="E330" t="str">
        <f>_xlfn.XLOOKUP(C330,Mapping!$D$2:$D$54,Mapping!$E$2:$E$54)</f>
        <v>Vancouver</v>
      </c>
      <c r="F330">
        <f>_xlfn.XLOOKUP($C330,Mapping!$D$2:$D$54,Mapping!F$2:F$54)</f>
        <v>49.262500000000003</v>
      </c>
      <c r="G330">
        <f>_xlfn.XLOOKUP($C330,Mapping!$D$2:$D$54,Mapping!G$2:G$54)</f>
        <v>-123.0694</v>
      </c>
    </row>
    <row r="331" spans="1:7">
      <c r="A331">
        <v>2024</v>
      </c>
      <c r="B331" s="3" t="str">
        <f>_xlfn.XLOOKUP(C331,Mapping!$A$2:$A$54,Mapping!$B$2:$B$54)</f>
        <v>Millennium Line</v>
      </c>
      <c r="C331" t="s">
        <v>12</v>
      </c>
      <c r="D331">
        <v>1612659</v>
      </c>
      <c r="E331" t="str">
        <f>_xlfn.XLOOKUP(C331,Mapping!$D$2:$D$54,Mapping!$E$2:$E$54)</f>
        <v>Coquitlam</v>
      </c>
      <c r="F331">
        <f>_xlfn.XLOOKUP($C331,Mapping!$D$2:$D$54,Mapping!F$2:F$54)</f>
        <v>49.274000000000001</v>
      </c>
      <c r="G331">
        <f>_xlfn.XLOOKUP($C331,Mapping!$D$2:$D$54,Mapping!G$2:G$54)</f>
        <v>-122.7993</v>
      </c>
    </row>
    <row r="332" spans="1:7">
      <c r="A332">
        <v>2024</v>
      </c>
      <c r="B332" s="3" t="str">
        <f>_xlfn.XLOOKUP(C332,Mapping!$A$2:$A$54,Mapping!$B$2:$B$54)</f>
        <v>Expo Line</v>
      </c>
      <c r="C332" t="s">
        <v>13</v>
      </c>
      <c r="D332">
        <v>3487282</v>
      </c>
      <c r="E332" t="str">
        <f>_xlfn.XLOOKUP(C332,Mapping!$D$2:$D$54,Mapping!$E$2:$E$54)</f>
        <v>Burnaby</v>
      </c>
      <c r="F332">
        <f>_xlfn.XLOOKUP($C332,Mapping!$D$2:$D$54,Mapping!F$2:F$54)</f>
        <v>49.213799999999999</v>
      </c>
      <c r="G332">
        <f>_xlfn.XLOOKUP($C332,Mapping!$D$2:$D$54,Mapping!G$2:G$54)</f>
        <v>-122.9592</v>
      </c>
    </row>
    <row r="333" spans="1:7">
      <c r="A333">
        <v>2024</v>
      </c>
      <c r="B333" s="3" t="str">
        <f>_xlfn.XLOOKUP(C333,Mapping!$A$2:$A$54,Mapping!$B$2:$B$54)</f>
        <v>Expo Line</v>
      </c>
      <c r="C333" t="s">
        <v>14</v>
      </c>
      <c r="D333">
        <v>2227266</v>
      </c>
      <c r="E333" t="str">
        <f>_xlfn.XLOOKUP(C333,Mapping!$D$2:$D$54,Mapping!$E$2:$E$54)</f>
        <v>Surrey</v>
      </c>
      <c r="F333">
        <f>_xlfn.XLOOKUP($C333,Mapping!$D$2:$D$54,Mapping!F$2:F$54)</f>
        <v>49.198900000000002</v>
      </c>
      <c r="G333">
        <f>_xlfn.XLOOKUP($C333,Mapping!$D$2:$D$54,Mapping!G$2:G$54)</f>
        <v>-122.8507</v>
      </c>
    </row>
    <row r="334" spans="1:7">
      <c r="A334">
        <v>2024</v>
      </c>
      <c r="B334" s="3" t="str">
        <f>_xlfn.XLOOKUP(C334,Mapping!$A$2:$A$54,Mapping!$B$2:$B$54)</f>
        <v>Millennium Line</v>
      </c>
      <c r="C334" t="s">
        <v>15</v>
      </c>
      <c r="D334">
        <v>1041450</v>
      </c>
      <c r="E334" t="str">
        <f>_xlfn.XLOOKUP(C334,Mapping!$D$2:$D$54,Mapping!$E$2:$E$54)</f>
        <v>Burnaby</v>
      </c>
      <c r="F334">
        <f>_xlfn.XLOOKUP($C334,Mapping!$D$2:$D$54,Mapping!F$2:F$54)</f>
        <v>49.264899999999997</v>
      </c>
      <c r="G334">
        <f>_xlfn.XLOOKUP($C334,Mapping!$D$2:$D$54,Mapping!G$2:G$54)</f>
        <v>-123.01349999999999</v>
      </c>
    </row>
    <row r="335" spans="1:7">
      <c r="A335">
        <v>2024</v>
      </c>
      <c r="B335" s="3" t="str">
        <f>_xlfn.XLOOKUP(C335,Mapping!$A$2:$A$54,Mapping!$B$2:$B$54)</f>
        <v>Expo Line</v>
      </c>
      <c r="C335" t="s">
        <v>16</v>
      </c>
      <c r="D335">
        <v>6149464</v>
      </c>
      <c r="E335" t="str">
        <f>_xlfn.XLOOKUP(C335,Mapping!$D$2:$D$54,Mapping!$E$2:$E$54)</f>
        <v>Vancouver</v>
      </c>
      <c r="F335">
        <f>_xlfn.XLOOKUP($C335,Mapping!$D$2:$D$54,Mapping!F$2:F$54)</f>
        <v>49.283099999999997</v>
      </c>
      <c r="G335">
        <f>_xlfn.XLOOKUP($C335,Mapping!$D$2:$D$54,Mapping!G$2:G$54)</f>
        <v>-123.1161</v>
      </c>
    </row>
    <row r="336" spans="1:7">
      <c r="A336">
        <v>2024</v>
      </c>
      <c r="B336" s="3" t="str">
        <f>_xlfn.XLOOKUP(C336,Mapping!$A$2:$A$54,Mapping!$B$2:$B$54)</f>
        <v>Millennium Line</v>
      </c>
      <c r="C336" t="s">
        <v>17</v>
      </c>
      <c r="D336">
        <v>860513</v>
      </c>
      <c r="E336" t="str">
        <f>_xlfn.XLOOKUP(C336,Mapping!$D$2:$D$54,Mapping!$E$2:$E$54)</f>
        <v>Burnaby</v>
      </c>
      <c r="F336">
        <f>_xlfn.XLOOKUP($C336,Mapping!$D$2:$D$54,Mapping!F$2:F$54)</f>
        <v>49.264699999999998</v>
      </c>
      <c r="G336">
        <f>_xlfn.XLOOKUP($C336,Mapping!$D$2:$D$54,Mapping!G$2:G$54)</f>
        <v>-122.98220000000001</v>
      </c>
    </row>
    <row r="337" spans="1:7">
      <c r="A337">
        <v>2024</v>
      </c>
      <c r="B337" s="3" t="str">
        <f>_xlfn.XLOOKUP(C337,Mapping!$A$2:$A$54,Mapping!$B$2:$B$54)</f>
        <v>Millennium Line</v>
      </c>
      <c r="C337" t="s">
        <v>18</v>
      </c>
      <c r="D337">
        <v>653543</v>
      </c>
      <c r="E337" t="str">
        <f>_xlfn.XLOOKUP(C337,Mapping!$D$2:$D$54,Mapping!$E$2:$E$54)</f>
        <v>Port Moody</v>
      </c>
      <c r="F337">
        <f>_xlfn.XLOOKUP($C337,Mapping!$D$2:$D$54,Mapping!F$2:F$54)</f>
        <v>49.277700000000003</v>
      </c>
      <c r="G337">
        <f>_xlfn.XLOOKUP($C337,Mapping!$D$2:$D$54,Mapping!G$2:G$54)</f>
        <v>-122.82859999999999</v>
      </c>
    </row>
    <row r="338" spans="1:7">
      <c r="A338">
        <v>2024</v>
      </c>
      <c r="B338" s="3" t="str">
        <f>_xlfn.XLOOKUP(C338,Mapping!$A$2:$A$54,Mapping!$B$2:$B$54)</f>
        <v>Expo Line</v>
      </c>
      <c r="C338" t="s">
        <v>45</v>
      </c>
      <c r="D338">
        <v>5110734</v>
      </c>
      <c r="E338" t="str">
        <f>_xlfn.XLOOKUP(C338,Mapping!$D$2:$D$54,Mapping!$E$2:$E$54)</f>
        <v>Vancouver</v>
      </c>
      <c r="F338">
        <f>_xlfn.XLOOKUP($C338,Mapping!$D$2:$D$54,Mapping!F$2:F$54)</f>
        <v>49.238399999999999</v>
      </c>
      <c r="G338">
        <f>_xlfn.XLOOKUP($C338,Mapping!$D$2:$D$54,Mapping!G$2:G$54)</f>
        <v>-123.0318</v>
      </c>
    </row>
    <row r="339" spans="1:7">
      <c r="A339">
        <v>2024</v>
      </c>
      <c r="B339" s="3" t="str">
        <f>_xlfn.XLOOKUP(C339,Mapping!$A$2:$A$54,Mapping!$B$2:$B$54)</f>
        <v>Canada Line</v>
      </c>
      <c r="C339" t="s">
        <v>19</v>
      </c>
      <c r="D339">
        <v>2127671</v>
      </c>
      <c r="E339" t="str">
        <f>_xlfn.XLOOKUP(C339,Mapping!$D$2:$D$54,Mapping!$E$2:$E$54)</f>
        <v>Vancouver</v>
      </c>
      <c r="F339">
        <f>_xlfn.XLOOKUP($C339,Mapping!$D$2:$D$54,Mapping!F$2:F$54)</f>
        <v>49.249200000000002</v>
      </c>
      <c r="G339">
        <f>_xlfn.XLOOKUP($C339,Mapping!$D$2:$D$54,Mapping!G$2:G$54)</f>
        <v>-123.11579999999999</v>
      </c>
    </row>
    <row r="340" spans="1:7">
      <c r="A340">
        <v>2024</v>
      </c>
      <c r="B340" s="3" t="str">
        <f>_xlfn.XLOOKUP(C340,Mapping!$A$2:$A$54,Mapping!$B$2:$B$54)</f>
        <v>Expo Line</v>
      </c>
      <c r="C340" t="s">
        <v>20</v>
      </c>
      <c r="D340">
        <v>4406758</v>
      </c>
      <c r="E340" t="str">
        <f>_xlfn.XLOOKUP(C340,Mapping!$D$2:$D$54,Mapping!$E$2:$E$54)</f>
        <v>Surrey</v>
      </c>
      <c r="F340">
        <f>_xlfn.XLOOKUP($C340,Mapping!$D$2:$D$54,Mapping!F$2:F$54)</f>
        <v>49.182699999999997</v>
      </c>
      <c r="G340">
        <f>_xlfn.XLOOKUP($C340,Mapping!$D$2:$D$54,Mapping!G$2:G$54)</f>
        <v>-122.8451</v>
      </c>
    </row>
    <row r="341" spans="1:7">
      <c r="A341">
        <v>2024</v>
      </c>
      <c r="B341" s="3" t="str">
        <f>_xlfn.XLOOKUP(C341,Mapping!$A$2:$A$54,Mapping!$B$2:$B$54)</f>
        <v>Millennium Line</v>
      </c>
      <c r="C341" t="s">
        <v>21</v>
      </c>
      <c r="D341">
        <v>745715</v>
      </c>
      <c r="E341" t="str">
        <f>_xlfn.XLOOKUP(C341,Mapping!$D$2:$D$54,Mapping!$E$2:$E$54)</f>
        <v>Coquitlam</v>
      </c>
      <c r="F341">
        <f>_xlfn.XLOOKUP($C341,Mapping!$D$2:$D$54,Mapping!F$2:F$54)</f>
        <v>49.284700000000001</v>
      </c>
      <c r="G341">
        <f>_xlfn.XLOOKUP($C341,Mapping!$D$2:$D$54,Mapping!G$2:G$54)</f>
        <v>-122.78360000000001</v>
      </c>
    </row>
    <row r="342" spans="1:7">
      <c r="A342">
        <v>2024</v>
      </c>
      <c r="B342" s="3" t="str">
        <f>_xlfn.XLOOKUP(C342,Mapping!$A$2:$A$54,Mapping!$B$2:$B$54)</f>
        <v>Millennium Line</v>
      </c>
      <c r="C342" t="s">
        <v>22</v>
      </c>
      <c r="D342">
        <v>293380</v>
      </c>
      <c r="E342" t="str">
        <f>_xlfn.XLOOKUP(C342,Mapping!$D$2:$D$54,Mapping!$E$2:$E$54)</f>
        <v>Burnaby</v>
      </c>
      <c r="F342">
        <f>_xlfn.XLOOKUP($C342,Mapping!$D$2:$D$54,Mapping!F$2:F$54)</f>
        <v>49.254600000000003</v>
      </c>
      <c r="G342">
        <f>_xlfn.XLOOKUP($C342,Mapping!$D$2:$D$54,Mapping!G$2:G$54)</f>
        <v>-122.93770000000001</v>
      </c>
    </row>
    <row r="343" spans="1:7">
      <c r="A343">
        <v>2024</v>
      </c>
      <c r="B343" s="3" t="str">
        <f>_xlfn.XLOOKUP(C343,Mapping!$A$2:$A$54,Mapping!$B$2:$B$54)</f>
        <v>Canada Line</v>
      </c>
      <c r="C343" t="s">
        <v>46</v>
      </c>
      <c r="D343">
        <v>2506323</v>
      </c>
      <c r="E343" t="str">
        <f>_xlfn.XLOOKUP(C343,Mapping!$D$2:$D$54,Mapping!$E$2:$E$54)</f>
        <v>Vancouver</v>
      </c>
      <c r="F343">
        <f>_xlfn.XLOOKUP($C343,Mapping!$D$2:$D$54,Mapping!F$2:F$54)</f>
        <v>49.226300000000002</v>
      </c>
      <c r="G343">
        <f>_xlfn.XLOOKUP($C343,Mapping!$D$2:$D$54,Mapping!G$2:G$54)</f>
        <v>-123.1161</v>
      </c>
    </row>
    <row r="344" spans="1:7">
      <c r="A344">
        <v>2024</v>
      </c>
      <c r="B344" s="3" t="str">
        <f>_xlfn.XLOOKUP(C344,Mapping!$A$2:$A$54,Mapping!$B$2:$B$54)</f>
        <v>Canada Line</v>
      </c>
      <c r="C344" t="s">
        <v>23</v>
      </c>
      <c r="D344">
        <v>1576804</v>
      </c>
      <c r="E344" t="str">
        <f>_xlfn.XLOOKUP(C344,Mapping!$D$2:$D$54,Mapping!$E$2:$E$54)</f>
        <v>Richmond</v>
      </c>
      <c r="F344">
        <f>_xlfn.XLOOKUP($C344,Mapping!$D$2:$D$54,Mapping!F$2:F$54)</f>
        <v>49.174700000000001</v>
      </c>
      <c r="G344">
        <f>_xlfn.XLOOKUP($C344,Mapping!$D$2:$D$54,Mapping!G$2:G$54)</f>
        <v>-123.1362</v>
      </c>
    </row>
    <row r="345" spans="1:7">
      <c r="A345">
        <v>2024</v>
      </c>
      <c r="B345" s="3" t="str">
        <f>_xlfn.XLOOKUP(C345,Mapping!$A$2:$A$54,Mapping!$B$2:$B$54)</f>
        <v>Millennium Line</v>
      </c>
      <c r="C345" t="s">
        <v>24</v>
      </c>
      <c r="D345">
        <v>1220334</v>
      </c>
      <c r="E345" t="str">
        <f>_xlfn.XLOOKUP(C345,Mapping!$D$2:$D$54,Mapping!$E$2:$E$54)</f>
        <v>Coquitlam</v>
      </c>
      <c r="F345">
        <f>_xlfn.XLOOKUP($C345,Mapping!$D$2:$D$54,Mapping!F$2:F$54)</f>
        <v>49.28</v>
      </c>
      <c r="G345">
        <f>_xlfn.XLOOKUP($C345,Mapping!$D$2:$D$54,Mapping!G$2:G$54)</f>
        <v>-122.7933</v>
      </c>
    </row>
    <row r="346" spans="1:7">
      <c r="A346">
        <v>2024</v>
      </c>
      <c r="B346" s="3" t="str">
        <f>_xlfn.XLOOKUP(C346,Mapping!$A$2:$A$54,Mapping!$B$2:$B$54)</f>
        <v>Expo / Millennium Line</v>
      </c>
      <c r="C346" t="s">
        <v>25</v>
      </c>
      <c r="D346">
        <v>3771558</v>
      </c>
      <c r="E346" t="str">
        <f>_xlfn.XLOOKUP(C346,Mapping!$D$2:$D$54,Mapping!$E$2:$E$54)</f>
        <v>Burnaby</v>
      </c>
      <c r="F346">
        <f>_xlfn.XLOOKUP($C346,Mapping!$D$2:$D$54,Mapping!F$2:F$54)</f>
        <v>49.2483</v>
      </c>
      <c r="G346">
        <f>_xlfn.XLOOKUP($C346,Mapping!$D$2:$D$54,Mapping!G$2:G$54)</f>
        <v>-122.89700000000001</v>
      </c>
    </row>
    <row r="347" spans="1:7">
      <c r="A347">
        <v>2024</v>
      </c>
      <c r="B347" s="3" t="str">
        <f>_xlfn.XLOOKUP(C347,Mapping!$A$2:$A$54,Mapping!$B$2:$B$54)</f>
        <v>Expo Line</v>
      </c>
      <c r="C347" t="s">
        <v>47</v>
      </c>
      <c r="D347">
        <v>3827048</v>
      </c>
      <c r="E347" t="str">
        <f>_xlfn.XLOOKUP(C347,Mapping!$D$2:$D$54,Mapping!$E$2:$E$54)</f>
        <v>Vancouver</v>
      </c>
      <c r="F347">
        <f>_xlfn.XLOOKUP($C347,Mapping!$D$2:$D$54,Mapping!F$2:F$54)</f>
        <v>49.273200000000003</v>
      </c>
      <c r="G347">
        <f>_xlfn.XLOOKUP($C347,Mapping!$D$2:$D$54,Mapping!G$2:G$54)</f>
        <v>-123.1003</v>
      </c>
    </row>
    <row r="348" spans="1:7">
      <c r="A348">
        <v>2024</v>
      </c>
      <c r="B348" s="3" t="str">
        <f>_xlfn.XLOOKUP(C348,Mapping!$A$2:$A$54,Mapping!$B$2:$B$54)</f>
        <v>Canada Line</v>
      </c>
      <c r="C348" t="s">
        <v>26</v>
      </c>
      <c r="D348">
        <v>3411032</v>
      </c>
      <c r="E348" t="str">
        <f>_xlfn.XLOOKUP(C348,Mapping!$D$2:$D$54,Mapping!$E$2:$E$54)</f>
        <v>Vancouver</v>
      </c>
      <c r="F348">
        <f>_xlfn.XLOOKUP($C348,Mapping!$D$2:$D$54,Mapping!F$2:F$54)</f>
        <v>49.209800000000001</v>
      </c>
      <c r="G348">
        <f>_xlfn.XLOOKUP($C348,Mapping!$D$2:$D$54,Mapping!G$2:G$54)</f>
        <v>-123.1174</v>
      </c>
    </row>
    <row r="349" spans="1:7">
      <c r="A349">
        <v>2024</v>
      </c>
      <c r="B349" s="3" t="str">
        <f>_xlfn.XLOOKUP(C349,Mapping!$A$2:$A$54,Mapping!$B$2:$B$54)</f>
        <v>Expo Line</v>
      </c>
      <c r="C349" t="s">
        <v>27</v>
      </c>
      <c r="D349">
        <v>8513043</v>
      </c>
      <c r="E349" t="str">
        <f>_xlfn.XLOOKUP(C349,Mapping!$D$2:$D$54,Mapping!$E$2:$E$54)</f>
        <v>Burnaby</v>
      </c>
      <c r="F349">
        <f>_xlfn.XLOOKUP($C349,Mapping!$D$2:$D$54,Mapping!F$2:F$54)</f>
        <v>49.225700000000003</v>
      </c>
      <c r="G349">
        <f>_xlfn.XLOOKUP($C349,Mapping!$D$2:$D$54,Mapping!G$2:G$54)</f>
        <v>-123.0039</v>
      </c>
    </row>
    <row r="350" spans="1:7">
      <c r="A350">
        <v>2024</v>
      </c>
      <c r="B350" s="3" t="str">
        <f>_xlfn.XLOOKUP(C350,Mapping!$A$2:$A$54,Mapping!$B$2:$B$54)</f>
        <v>Millennium Line</v>
      </c>
      <c r="C350" t="s">
        <v>28</v>
      </c>
      <c r="D350">
        <v>788114</v>
      </c>
      <c r="E350" t="str">
        <f>_xlfn.XLOOKUP(C350,Mapping!$D$2:$D$54,Mapping!$E$2:$E$54)</f>
        <v>Port Moody</v>
      </c>
      <c r="F350">
        <f>_xlfn.XLOOKUP($C350,Mapping!$D$2:$D$54,Mapping!F$2:F$54)</f>
        <v>49.278300000000002</v>
      </c>
      <c r="G350">
        <f>_xlfn.XLOOKUP($C350,Mapping!$D$2:$D$54,Mapping!G$2:G$54)</f>
        <v>-122.845</v>
      </c>
    </row>
    <row r="351" spans="1:7">
      <c r="A351">
        <v>2024</v>
      </c>
      <c r="B351" s="3" t="str">
        <f>_xlfn.XLOOKUP(C351,Mapping!$A$2:$A$54,Mapping!$B$2:$B$54)</f>
        <v>Expo Line</v>
      </c>
      <c r="C351" t="s">
        <v>29</v>
      </c>
      <c r="D351">
        <v>2217613</v>
      </c>
      <c r="E351" t="str">
        <f>_xlfn.XLOOKUP(C351,Mapping!$D$2:$D$54,Mapping!$E$2:$E$54)</f>
        <v>Vancouver</v>
      </c>
      <c r="F351">
        <f>_xlfn.XLOOKUP($C351,Mapping!$D$2:$D$54,Mapping!F$2:F$54)</f>
        <v>49.2483</v>
      </c>
      <c r="G351">
        <f>_xlfn.XLOOKUP($C351,Mapping!$D$2:$D$54,Mapping!G$2:G$54)</f>
        <v>-123.05589999999999</v>
      </c>
    </row>
    <row r="352" spans="1:7">
      <c r="A352">
        <v>2024</v>
      </c>
      <c r="B352" s="3" t="str">
        <f>_xlfn.XLOOKUP(C352,Mapping!$A$2:$A$54,Mapping!$B$2:$B$54)</f>
        <v>Expo Line</v>
      </c>
      <c r="C352" t="s">
        <v>30</v>
      </c>
      <c r="D352">
        <v>4561485</v>
      </c>
      <c r="E352" t="str">
        <f>_xlfn.XLOOKUP(C352,Mapping!$D$2:$D$54,Mapping!$E$2:$E$54)</f>
        <v>New Westminster</v>
      </c>
      <c r="F352">
        <f>_xlfn.XLOOKUP($C352,Mapping!$D$2:$D$54,Mapping!F$2:F$54)</f>
        <v>49.201500000000003</v>
      </c>
      <c r="G352">
        <f>_xlfn.XLOOKUP($C352,Mapping!$D$2:$D$54,Mapping!G$2:G$54)</f>
        <v>-122.9126</v>
      </c>
    </row>
    <row r="353" spans="1:7">
      <c r="A353">
        <v>2024</v>
      </c>
      <c r="B353" s="3" t="str">
        <f>_xlfn.XLOOKUP(C353,Mapping!$A$2:$A$54,Mapping!$B$2:$B$54)</f>
        <v>Canada Line</v>
      </c>
      <c r="C353" t="s">
        <v>48</v>
      </c>
      <c r="D353">
        <v>2332643</v>
      </c>
      <c r="E353" t="str">
        <f>_xlfn.XLOOKUP(C353,Mapping!$D$2:$D$54,Mapping!$E$2:$E$54)</f>
        <v>Vancouver</v>
      </c>
      <c r="F353">
        <f>_xlfn.XLOOKUP($C353,Mapping!$D$2:$D$54,Mapping!F$2:F$54)</f>
        <v>49.232999999999997</v>
      </c>
      <c r="G353">
        <f>_xlfn.XLOOKUP($C353,Mapping!$D$2:$D$54,Mapping!G$2:G$54)</f>
        <v>-123.1161</v>
      </c>
    </row>
    <row r="354" spans="1:7">
      <c r="A354">
        <v>2024</v>
      </c>
      <c r="B354" s="3" t="str">
        <f>_xlfn.XLOOKUP(C354,Mapping!$A$2:$A$54,Mapping!$B$2:$B$54)</f>
        <v>Canada Line</v>
      </c>
      <c r="C354" t="s">
        <v>31</v>
      </c>
      <c r="D354">
        <v>1290012</v>
      </c>
      <c r="E354" t="str">
        <f>_xlfn.XLOOKUP(C354,Mapping!$D$2:$D$54,Mapping!$E$2:$E$54)</f>
        <v>Vancouver</v>
      </c>
      <c r="F354">
        <f>_xlfn.XLOOKUP($C354,Mapping!$D$2:$D$54,Mapping!F$2:F$54)</f>
        <v>49.266500000000001</v>
      </c>
      <c r="G354">
        <f>_xlfn.XLOOKUP($C354,Mapping!$D$2:$D$54,Mapping!G$2:G$54)</f>
        <v>-123.1156</v>
      </c>
    </row>
    <row r="355" spans="1:7">
      <c r="A355">
        <v>2024</v>
      </c>
      <c r="B355" s="3" t="str">
        <f>_xlfn.XLOOKUP(C355,Mapping!$A$2:$A$54,Mapping!$B$2:$B$54)</f>
        <v>Expo Line</v>
      </c>
      <c r="C355" t="s">
        <v>32</v>
      </c>
      <c r="D355">
        <v>1406526</v>
      </c>
      <c r="E355" t="str">
        <f>_xlfn.XLOOKUP(C355,Mapping!$D$2:$D$54,Mapping!$E$2:$E$54)</f>
        <v>Burnaby</v>
      </c>
      <c r="F355">
        <f>_xlfn.XLOOKUP($C355,Mapping!$D$2:$D$54,Mapping!F$2:F$54)</f>
        <v>49.229700000000001</v>
      </c>
      <c r="G355">
        <f>_xlfn.XLOOKUP($C355,Mapping!$D$2:$D$54,Mapping!G$2:G$54)</f>
        <v>-123.01260000000001</v>
      </c>
    </row>
    <row r="356" spans="1:7">
      <c r="A356">
        <v>2024</v>
      </c>
      <c r="B356" s="3" t="str">
        <f>_xlfn.XLOOKUP(C356,Mapping!$A$2:$A$54,Mapping!$B$2:$B$54)</f>
        <v>Expo / Millennium Line</v>
      </c>
      <c r="C356" t="s">
        <v>49</v>
      </c>
      <c r="D356">
        <v>1431380</v>
      </c>
      <c r="E356" t="str">
        <f>_xlfn.XLOOKUP(C356,Mapping!$D$2:$D$54,Mapping!$E$2:$E$54)</f>
        <v>Burnaby</v>
      </c>
      <c r="F356">
        <f>_xlfn.XLOOKUP($C356,Mapping!$D$2:$D$54,Mapping!F$2:F$54)</f>
        <v>49.253300000000003</v>
      </c>
      <c r="G356">
        <f>_xlfn.XLOOKUP($C356,Mapping!$D$2:$D$54,Mapping!G$2:G$54)</f>
        <v>-122.91800000000001</v>
      </c>
    </row>
    <row r="357" spans="1:7">
      <c r="A357">
        <v>2024</v>
      </c>
      <c r="B357" s="3" t="str">
        <f>_xlfn.XLOOKUP(C357,Mapping!$A$2:$A$54,Mapping!$B$2:$B$54)</f>
        <v>Millennium Line</v>
      </c>
      <c r="C357" t="s">
        <v>33</v>
      </c>
      <c r="D357">
        <v>1377633</v>
      </c>
      <c r="E357" t="str">
        <f>_xlfn.XLOOKUP(C357,Mapping!$D$2:$D$54,Mapping!$E$2:$E$54)</f>
        <v>Vancouver</v>
      </c>
      <c r="F357">
        <f>_xlfn.XLOOKUP($C357,Mapping!$D$2:$D$54,Mapping!F$2:F$54)</f>
        <v>49.258800000000001</v>
      </c>
      <c r="G357">
        <f>_xlfn.XLOOKUP($C357,Mapping!$D$2:$D$54,Mapping!G$2:G$54)</f>
        <v>-123.0453</v>
      </c>
    </row>
    <row r="358" spans="1:7">
      <c r="A358">
        <v>2024</v>
      </c>
      <c r="B358" s="3" t="str">
        <f>_xlfn.XLOOKUP(C358,Mapping!$A$2:$A$54,Mapping!$B$2:$B$54)</f>
        <v>Canada Line</v>
      </c>
      <c r="C358" t="s">
        <v>50</v>
      </c>
      <c r="D358">
        <v>3619751</v>
      </c>
      <c r="E358" t="str">
        <f>_xlfn.XLOOKUP(C358,Mapping!$D$2:$D$54,Mapping!$E$2:$E$54)</f>
        <v>Richmond</v>
      </c>
      <c r="F358">
        <f>_xlfn.XLOOKUP($C358,Mapping!$D$2:$D$54,Mapping!F$2:F$54)</f>
        <v>49.168100000000003</v>
      </c>
      <c r="G358">
        <f>_xlfn.XLOOKUP($C358,Mapping!$D$2:$D$54,Mapping!G$2:G$54)</f>
        <v>-123.1362</v>
      </c>
    </row>
    <row r="359" spans="1:7">
      <c r="A359">
        <v>2024</v>
      </c>
      <c r="B359" s="3" t="str">
        <f>_xlfn.XLOOKUP(C359,Mapping!$A$2:$A$54,Mapping!$B$2:$B$54)</f>
        <v>Expo Line</v>
      </c>
      <c r="C359" t="s">
        <v>34</v>
      </c>
      <c r="D359">
        <v>1797133</v>
      </c>
      <c r="E359" t="str">
        <f>_xlfn.XLOOKUP(C359,Mapping!$D$2:$D$54,Mapping!$E$2:$E$54)</f>
        <v>Burnaby</v>
      </c>
      <c r="F359">
        <f>_xlfn.XLOOKUP($C359,Mapping!$D$2:$D$54,Mapping!F$2:F$54)</f>
        <v>49.220100000000002</v>
      </c>
      <c r="G359">
        <f>_xlfn.XLOOKUP($C359,Mapping!$D$2:$D$54,Mapping!G$2:G$54)</f>
        <v>-122.9884</v>
      </c>
    </row>
    <row r="360" spans="1:7">
      <c r="A360">
        <v>2024</v>
      </c>
      <c r="B360" s="3" t="str">
        <f>_xlfn.XLOOKUP(C360,Mapping!$A$2:$A$54,Mapping!$B$2:$B$54)</f>
        <v>Millennium Line</v>
      </c>
      <c r="C360" t="s">
        <v>35</v>
      </c>
      <c r="D360">
        <v>857105</v>
      </c>
      <c r="E360" t="str">
        <f>_xlfn.XLOOKUP(C360,Mapping!$D$2:$D$54,Mapping!$E$2:$E$54)</f>
        <v>Vancouver</v>
      </c>
      <c r="F360">
        <f>_xlfn.XLOOKUP($C360,Mapping!$D$2:$D$54,Mapping!F$2:F$54)</f>
        <v>49.258800000000001</v>
      </c>
      <c r="G360">
        <f>_xlfn.XLOOKUP($C360,Mapping!$D$2:$D$54,Mapping!G$2:G$54)</f>
        <v>-123.02670000000001</v>
      </c>
    </row>
    <row r="361" spans="1:7">
      <c r="A361">
        <v>2024</v>
      </c>
      <c r="B361" s="3" t="str">
        <f>_xlfn.XLOOKUP(C361,Mapping!$A$2:$A$54,Mapping!$B$2:$B$54)</f>
        <v>Expo Line</v>
      </c>
      <c r="C361" t="s">
        <v>36</v>
      </c>
      <c r="D361">
        <v>970665</v>
      </c>
      <c r="E361" t="str">
        <f>_xlfn.XLOOKUP(C361,Mapping!$D$2:$D$54,Mapping!$E$2:$E$54)</f>
        <v>New Westminster</v>
      </c>
      <c r="F361">
        <f>_xlfn.XLOOKUP($C361,Mapping!$D$2:$D$54,Mapping!F$2:F$54)</f>
        <v>49.2254</v>
      </c>
      <c r="G361">
        <f>_xlfn.XLOOKUP($C361,Mapping!$D$2:$D$54,Mapping!G$2:G$54)</f>
        <v>-122.88639999999999</v>
      </c>
    </row>
    <row r="362" spans="1:7">
      <c r="A362">
        <v>2024</v>
      </c>
      <c r="B362" s="3" t="str">
        <f>_xlfn.XLOOKUP(C362,Mapping!$A$2:$A$54,Mapping!$B$2:$B$54)</f>
        <v>Expo Line</v>
      </c>
      <c r="C362" t="s">
        <v>37</v>
      </c>
      <c r="D362">
        <v>4020146</v>
      </c>
      <c r="E362" t="str">
        <f>_xlfn.XLOOKUP(C362,Mapping!$D$2:$D$54,Mapping!$E$2:$E$54)</f>
        <v>Surrey</v>
      </c>
      <c r="F362">
        <f>_xlfn.XLOOKUP($C362,Mapping!$D$2:$D$54,Mapping!F$2:F$54)</f>
        <v>49.2044</v>
      </c>
      <c r="G362">
        <f>_xlfn.XLOOKUP($C362,Mapping!$D$2:$D$54,Mapping!G$2:G$54)</f>
        <v>-122.87430000000001</v>
      </c>
    </row>
    <row r="363" spans="1:7">
      <c r="A363">
        <v>2024</v>
      </c>
      <c r="B363" s="3" t="str">
        <f>_xlfn.XLOOKUP(C363,Mapping!$A$2:$A$54,Mapping!$B$2:$B$54)</f>
        <v>Canada Line</v>
      </c>
      <c r="C363" t="s">
        <v>38</v>
      </c>
      <c r="D363">
        <v>322662</v>
      </c>
      <c r="E363" t="str">
        <f>_xlfn.XLOOKUP(C363,Mapping!$D$2:$D$54,Mapping!$E$2:$E$54)</f>
        <v>Richmond</v>
      </c>
      <c r="F363">
        <f>_xlfn.XLOOKUP($C363,Mapping!$D$2:$D$54,Mapping!F$2:F$54)</f>
        <v>49.193100000000001</v>
      </c>
      <c r="G363">
        <f>_xlfn.XLOOKUP($C363,Mapping!$D$2:$D$54,Mapping!G$2:G$54)</f>
        <v>-123.1553</v>
      </c>
    </row>
    <row r="364" spans="1:7">
      <c r="A364">
        <v>2024</v>
      </c>
      <c r="B364" s="3" t="str">
        <f>_xlfn.XLOOKUP(C364,Mapping!$A$2:$A$54,Mapping!$B$2:$B$54)</f>
        <v>Millennium Line</v>
      </c>
      <c r="C364" t="s">
        <v>51</v>
      </c>
      <c r="D364">
        <v>594534</v>
      </c>
      <c r="E364" t="str">
        <f>_xlfn.XLOOKUP(C364,Mapping!$D$2:$D$54,Mapping!$E$2:$E$54)</f>
        <v>Burnaby</v>
      </c>
      <c r="F364">
        <f>_xlfn.XLOOKUP($C364,Mapping!$D$2:$D$54,Mapping!F$2:F$54)</f>
        <v>49.2592</v>
      </c>
      <c r="G364">
        <f>_xlfn.XLOOKUP($C364,Mapping!$D$2:$D$54,Mapping!G$2:G$54)</f>
        <v>-122.96420000000001</v>
      </c>
    </row>
    <row r="365" spans="1:7">
      <c r="A365">
        <v>2024</v>
      </c>
      <c r="B365" s="3" t="str">
        <f>_xlfn.XLOOKUP(C365,Mapping!$A$2:$A$54,Mapping!$B$2:$B$54)</f>
        <v>Expo Line</v>
      </c>
      <c r="C365" t="s">
        <v>52</v>
      </c>
      <c r="D365">
        <v>4928968</v>
      </c>
      <c r="E365" t="str">
        <f>_xlfn.XLOOKUP(C365,Mapping!$D$2:$D$54,Mapping!$E$2:$E$54)</f>
        <v>Vancouver</v>
      </c>
      <c r="F365">
        <f>_xlfn.XLOOKUP($C365,Mapping!$D$2:$D$54,Mapping!F$2:F$54)</f>
        <v>49.279600000000002</v>
      </c>
      <c r="G365">
        <f>_xlfn.XLOOKUP($C365,Mapping!$D$2:$D$54,Mapping!G$2:G$54)</f>
        <v>-123.10980000000001</v>
      </c>
    </row>
    <row r="366" spans="1:7">
      <c r="A366">
        <v>2024</v>
      </c>
      <c r="B366" s="3" t="str">
        <f>_xlfn.XLOOKUP(C366,Mapping!$A$2:$A$54,Mapping!$B$2:$B$54)</f>
        <v>Expo Line</v>
      </c>
      <c r="C366" t="s">
        <v>39</v>
      </c>
      <c r="D366">
        <v>6008403</v>
      </c>
      <c r="E366" t="str">
        <f>_xlfn.XLOOKUP(C366,Mapping!$D$2:$D$54,Mapping!$E$2:$E$54)</f>
        <v>Surrey</v>
      </c>
      <c r="F366">
        <f>_xlfn.XLOOKUP($C366,Mapping!$D$2:$D$54,Mapping!F$2:F$54)</f>
        <v>49.189599999999999</v>
      </c>
      <c r="G366">
        <f>_xlfn.XLOOKUP($C366,Mapping!$D$2:$D$54,Mapping!G$2:G$54)</f>
        <v>-122.8479</v>
      </c>
    </row>
    <row r="367" spans="1:7">
      <c r="A367">
        <v>2024</v>
      </c>
      <c r="B367" s="3" t="str">
        <f>_xlfn.XLOOKUP(C367,Mapping!$A$2:$A$54,Mapping!$B$2:$B$54)</f>
        <v>Canada Line</v>
      </c>
      <c r="C367" t="s">
        <v>40</v>
      </c>
      <c r="D367">
        <v>1277959</v>
      </c>
      <c r="E367" t="str">
        <f>_xlfn.XLOOKUP(C367,Mapping!$D$2:$D$54,Mapping!$E$2:$E$54)</f>
        <v>Richmond</v>
      </c>
      <c r="F367">
        <f>_xlfn.XLOOKUP($C367,Mapping!$D$2:$D$54,Mapping!F$2:F$54)</f>
        <v>49.196300000000001</v>
      </c>
      <c r="G367">
        <f>_xlfn.XLOOKUP($C367,Mapping!$D$2:$D$54,Mapping!G$2:G$54)</f>
        <v>-123.1465</v>
      </c>
    </row>
    <row r="368" spans="1:7">
      <c r="A368">
        <v>2024</v>
      </c>
      <c r="B368" s="3" t="str">
        <f>_xlfn.XLOOKUP(C368,Mapping!$A$2:$A$54,Mapping!$B$2:$B$54)</f>
        <v>Millennium Line</v>
      </c>
      <c r="C368" t="s">
        <v>53</v>
      </c>
      <c r="D368">
        <v>877091</v>
      </c>
      <c r="E368" t="str">
        <f>_xlfn.XLOOKUP(C368,Mapping!$D$2:$D$54,Mapping!$E$2:$E$54)</f>
        <v>Vancouver</v>
      </c>
      <c r="F368">
        <f>_xlfn.XLOOKUP($C368,Mapping!$D$2:$D$54,Mapping!F$2:F$54)</f>
        <v>49.265799999999999</v>
      </c>
      <c r="G368">
        <f>_xlfn.XLOOKUP($C368,Mapping!$D$2:$D$54,Mapping!G$2:G$54)</f>
        <v>-123.0792</v>
      </c>
    </row>
    <row r="369" spans="1:7">
      <c r="A369">
        <v>2024</v>
      </c>
      <c r="B369" s="3" t="str">
        <f>_xlfn.XLOOKUP(C369,Mapping!$A$2:$A$54,Mapping!$B$2:$B$54)</f>
        <v>Canada Line</v>
      </c>
      <c r="C369" t="s">
        <v>41</v>
      </c>
      <c r="D369">
        <v>4970914</v>
      </c>
      <c r="E369" t="str">
        <f>_xlfn.XLOOKUP(C369,Mapping!$D$2:$D$54,Mapping!$E$2:$E$54)</f>
        <v>Vancouver</v>
      </c>
      <c r="F369">
        <f>_xlfn.XLOOKUP($C369,Mapping!$D$2:$D$54,Mapping!F$2:F$54)</f>
        <v>49.282499999999999</v>
      </c>
      <c r="G369">
        <f>_xlfn.XLOOKUP($C369,Mapping!$D$2:$D$54,Mapping!G$2:G$54)</f>
        <v>-123.1185</v>
      </c>
    </row>
    <row r="370" spans="1:7">
      <c r="A370">
        <v>2024</v>
      </c>
      <c r="B370" s="3" t="str">
        <f>_xlfn.XLOOKUP(C370,Mapping!$A$2:$A$54,Mapping!$B$2:$B$54)</f>
        <v>Expo / Canada Line</v>
      </c>
      <c r="C370" t="s">
        <v>42</v>
      </c>
      <c r="D370">
        <v>10470597</v>
      </c>
      <c r="E370" t="str">
        <f>_xlfn.XLOOKUP(C370,Mapping!$D$2:$D$54,Mapping!$E$2:$E$54)</f>
        <v>Vancouver</v>
      </c>
      <c r="F370">
        <f>_xlfn.XLOOKUP($C370,Mapping!$D$2:$D$54,Mapping!F$2:F$54)</f>
        <v>49.285899999999998</v>
      </c>
      <c r="G370">
        <f>_xlfn.XLOOKUP($C370,Mapping!$D$2:$D$54,Mapping!G$2:G$54)</f>
        <v>-123.1118</v>
      </c>
    </row>
    <row r="371" spans="1:7">
      <c r="A371">
        <v>2024</v>
      </c>
      <c r="B371" s="3" t="str">
        <f>_xlfn.XLOOKUP(C371,Mapping!$A$2:$A$54,Mapping!$B$2:$B$54)</f>
        <v>Canada Line</v>
      </c>
      <c r="C371" t="s">
        <v>55</v>
      </c>
      <c r="D371">
        <v>2921545</v>
      </c>
      <c r="E371" t="str">
        <f>_xlfn.XLOOKUP(C371,Mapping!$D$2:$D$54,Mapping!$E$2:$E$54)</f>
        <v>Richmond</v>
      </c>
      <c r="F371">
        <f>_xlfn.XLOOKUP($C371,Mapping!$D$2:$D$54,Mapping!F$2:F$54)</f>
        <v>49.193899999999999</v>
      </c>
      <c r="G371">
        <f>_xlfn.XLOOKUP($C371,Mapping!$D$2:$D$54,Mapping!G$2:G$54)</f>
        <v>-123.1765</v>
      </c>
    </row>
    <row r="372" spans="1:7">
      <c r="A372">
        <v>2024</v>
      </c>
      <c r="B372" s="3" t="str">
        <f>_xlfn.XLOOKUP(C372,Mapping!$A$2:$A$54,Mapping!$B$2:$B$54)</f>
        <v>Canada Line</v>
      </c>
      <c r="C372" t="s">
        <v>54</v>
      </c>
      <c r="D372">
        <v>3055148</v>
      </c>
      <c r="E372" t="str">
        <f>_xlfn.XLOOKUP(C372,Mapping!$D$2:$D$54,Mapping!$E$2:$E$54)</f>
        <v>Vancouver</v>
      </c>
      <c r="F372">
        <f>_xlfn.XLOOKUP($C372,Mapping!$D$2:$D$54,Mapping!F$2:F$54)</f>
        <v>49.274500000000003</v>
      </c>
      <c r="G372">
        <f>_xlfn.XLOOKUP($C372,Mapping!$D$2:$D$54,Mapping!G$2:G$54)</f>
        <v>-123.1219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A5F76-D633-485E-9429-411E643BA108}">
  <dimension ref="A1:G54"/>
  <sheetViews>
    <sheetView workbookViewId="0">
      <selection activeCell="K8" sqref="K8"/>
    </sheetView>
  </sheetViews>
  <sheetFormatPr defaultRowHeight="14.4"/>
  <cols>
    <col min="1" max="1" width="21" customWidth="1"/>
    <col min="2" max="2" width="16.33203125" customWidth="1"/>
    <col min="4" max="4" width="22.44140625" customWidth="1"/>
    <col min="5" max="5" width="24.109375" customWidth="1"/>
    <col min="6" max="6" width="29.44140625" customWidth="1"/>
    <col min="7" max="7" width="26.109375" customWidth="1"/>
  </cols>
  <sheetData>
    <row r="1" spans="1:7" ht="15" thickBot="1">
      <c r="A1" s="1" t="s">
        <v>57</v>
      </c>
      <c r="B1" s="1" t="s">
        <v>56</v>
      </c>
      <c r="D1" s="1" t="s">
        <v>57</v>
      </c>
      <c r="E1" s="1" t="s">
        <v>63</v>
      </c>
      <c r="F1" s="1" t="s">
        <v>71</v>
      </c>
      <c r="G1" s="1" t="s">
        <v>72</v>
      </c>
    </row>
    <row r="2" spans="1:7" ht="15" thickBot="1">
      <c r="A2" s="2" t="s">
        <v>3</v>
      </c>
      <c r="B2" s="2" t="s">
        <v>58</v>
      </c>
      <c r="D2" s="1" t="s">
        <v>3</v>
      </c>
      <c r="E2" s="2" t="s">
        <v>64</v>
      </c>
      <c r="F2" s="4">
        <v>49.2</v>
      </c>
      <c r="G2" s="2">
        <v>-122.949</v>
      </c>
    </row>
    <row r="3" spans="1:7" ht="15" thickBot="1">
      <c r="A3" s="2" t="s">
        <v>4</v>
      </c>
      <c r="B3" s="2" t="s">
        <v>58</v>
      </c>
      <c r="D3" s="1" t="s">
        <v>4</v>
      </c>
      <c r="E3" s="2" t="s">
        <v>65</v>
      </c>
      <c r="F3" s="2">
        <v>49.244300000000003</v>
      </c>
      <c r="G3" s="2">
        <v>-123.045</v>
      </c>
    </row>
    <row r="4" spans="1:7" ht="15" thickBot="1">
      <c r="A4" s="2" t="s">
        <v>5</v>
      </c>
      <c r="B4" s="2" t="s">
        <v>59</v>
      </c>
      <c r="D4" s="1" t="s">
        <v>5</v>
      </c>
      <c r="E4" s="2" t="s">
        <v>66</v>
      </c>
      <c r="F4" s="2">
        <v>49.1843</v>
      </c>
      <c r="G4" s="2">
        <v>-123.1362</v>
      </c>
    </row>
    <row r="5" spans="1:7" ht="15" thickBot="1">
      <c r="A5" s="2" t="s">
        <v>6</v>
      </c>
      <c r="B5" s="2" t="s">
        <v>58</v>
      </c>
      <c r="D5" s="1" t="s">
        <v>6</v>
      </c>
      <c r="E5" s="2" t="s">
        <v>64</v>
      </c>
      <c r="F5" s="2">
        <v>49.232999999999997</v>
      </c>
      <c r="G5" s="2">
        <v>-122.8828</v>
      </c>
    </row>
    <row r="6" spans="1:7" ht="28.2" thickBot="1">
      <c r="A6" s="2" t="s">
        <v>7</v>
      </c>
      <c r="B6" s="2" t="s">
        <v>60</v>
      </c>
      <c r="D6" s="1" t="s">
        <v>7</v>
      </c>
      <c r="E6" s="2" t="s">
        <v>67</v>
      </c>
      <c r="F6" s="2">
        <v>49.266199999999998</v>
      </c>
      <c r="G6" s="2">
        <v>-123.0016</v>
      </c>
    </row>
    <row r="7" spans="1:7" ht="15" thickBot="1">
      <c r="A7" s="2" t="s">
        <v>8</v>
      </c>
      <c r="B7" s="2" t="s">
        <v>59</v>
      </c>
      <c r="D7" s="1" t="s">
        <v>8</v>
      </c>
      <c r="E7" s="2" t="s">
        <v>66</v>
      </c>
      <c r="F7" s="2">
        <v>49.192500000000003</v>
      </c>
      <c r="G7" s="2">
        <v>-123.1264</v>
      </c>
    </row>
    <row r="8" spans="1:7" ht="28.2" thickBot="1">
      <c r="A8" s="2" t="s">
        <v>43</v>
      </c>
      <c r="B8" s="2" t="s">
        <v>59</v>
      </c>
      <c r="D8" s="1" t="s">
        <v>43</v>
      </c>
      <c r="E8" s="2" t="s">
        <v>65</v>
      </c>
      <c r="F8" s="2">
        <v>49.263100000000001</v>
      </c>
      <c r="G8" s="2">
        <v>-123.1147</v>
      </c>
    </row>
    <row r="9" spans="1:7" ht="15" thickBot="1">
      <c r="A9" s="2" t="s">
        <v>9</v>
      </c>
      <c r="B9" s="2" t="s">
        <v>60</v>
      </c>
      <c r="D9" s="1" t="s">
        <v>9</v>
      </c>
      <c r="E9" s="2" t="s">
        <v>68</v>
      </c>
      <c r="F9" s="2">
        <v>49.261800000000001</v>
      </c>
      <c r="G9" s="2">
        <v>-122.88979999999999</v>
      </c>
    </row>
    <row r="10" spans="1:7" ht="15" thickBot="1">
      <c r="A10" s="2" t="s">
        <v>10</v>
      </c>
      <c r="B10" s="2" t="s">
        <v>58</v>
      </c>
      <c r="D10" s="1" t="s">
        <v>10</v>
      </c>
      <c r="E10" s="2" t="s">
        <v>65</v>
      </c>
      <c r="F10" s="2">
        <v>49.285600000000002</v>
      </c>
      <c r="G10" s="2">
        <v>-123.1202</v>
      </c>
    </row>
    <row r="11" spans="1:7" ht="15" thickBot="1">
      <c r="A11" s="2" t="s">
        <v>11</v>
      </c>
      <c r="B11" s="2" t="s">
        <v>58</v>
      </c>
      <c r="D11" s="1" t="s">
        <v>11</v>
      </c>
      <c r="E11" s="2" t="s">
        <v>64</v>
      </c>
      <c r="F11" s="2">
        <v>49.204799999999999</v>
      </c>
      <c r="G11" s="2">
        <v>-122.9061</v>
      </c>
    </row>
    <row r="12" spans="1:7" ht="28.2" thickBot="1">
      <c r="A12" s="2" t="s">
        <v>44</v>
      </c>
      <c r="B12" s="2" t="s">
        <v>61</v>
      </c>
      <c r="D12" s="1" t="s">
        <v>44</v>
      </c>
      <c r="E12" s="2" t="s">
        <v>65</v>
      </c>
      <c r="F12" s="2">
        <v>49.262500000000003</v>
      </c>
      <c r="G12" s="2">
        <v>-123.0694</v>
      </c>
    </row>
    <row r="13" spans="1:7" ht="28.2" thickBot="1">
      <c r="A13" s="2" t="s">
        <v>12</v>
      </c>
      <c r="B13" s="2" t="s">
        <v>60</v>
      </c>
      <c r="D13" s="1" t="s">
        <v>12</v>
      </c>
      <c r="E13" s="2" t="s">
        <v>68</v>
      </c>
      <c r="F13" s="2">
        <v>49.274000000000001</v>
      </c>
      <c r="G13" s="2">
        <v>-122.7993</v>
      </c>
    </row>
    <row r="14" spans="1:7" ht="15" thickBot="1">
      <c r="A14" s="2" t="s">
        <v>13</v>
      </c>
      <c r="B14" s="2" t="s">
        <v>58</v>
      </c>
      <c r="D14" s="1" t="s">
        <v>13</v>
      </c>
      <c r="E14" s="2" t="s">
        <v>67</v>
      </c>
      <c r="F14" s="2">
        <v>49.213799999999999</v>
      </c>
      <c r="G14" s="2">
        <v>-122.9592</v>
      </c>
    </row>
    <row r="15" spans="1:7" ht="15" thickBot="1">
      <c r="A15" s="2" t="s">
        <v>14</v>
      </c>
      <c r="B15" s="2" t="s">
        <v>58</v>
      </c>
      <c r="D15" s="1" t="s">
        <v>14</v>
      </c>
      <c r="E15" s="2" t="s">
        <v>69</v>
      </c>
      <c r="F15" s="2">
        <v>49.198900000000002</v>
      </c>
      <c r="G15" s="2">
        <v>-122.8507</v>
      </c>
    </row>
    <row r="16" spans="1:7" ht="15" thickBot="1">
      <c r="A16" s="2" t="s">
        <v>15</v>
      </c>
      <c r="B16" s="2" t="s">
        <v>60</v>
      </c>
      <c r="D16" s="1" t="s">
        <v>15</v>
      </c>
      <c r="E16" s="2" t="s">
        <v>67</v>
      </c>
      <c r="F16" s="2">
        <v>49.264899999999997</v>
      </c>
      <c r="G16" s="2">
        <v>-123.01349999999999</v>
      </c>
    </row>
    <row r="17" spans="1:7" ht="15" thickBot="1">
      <c r="A17" s="2" t="s">
        <v>16</v>
      </c>
      <c r="B17" s="2" t="s">
        <v>58</v>
      </c>
      <c r="D17" s="1" t="s">
        <v>16</v>
      </c>
      <c r="E17" s="2" t="s">
        <v>65</v>
      </c>
      <c r="F17" s="2">
        <v>49.283099999999997</v>
      </c>
      <c r="G17" s="2">
        <v>-123.1161</v>
      </c>
    </row>
    <row r="18" spans="1:7" ht="15" thickBot="1">
      <c r="A18" s="2" t="s">
        <v>17</v>
      </c>
      <c r="B18" s="2" t="s">
        <v>60</v>
      </c>
      <c r="D18" s="1" t="s">
        <v>17</v>
      </c>
      <c r="E18" s="2" t="s">
        <v>67</v>
      </c>
      <c r="F18" s="2">
        <v>49.264699999999998</v>
      </c>
      <c r="G18" s="2">
        <v>-122.98220000000001</v>
      </c>
    </row>
    <row r="19" spans="1:7" ht="15" thickBot="1">
      <c r="A19" s="2" t="s">
        <v>18</v>
      </c>
      <c r="B19" s="2" t="s">
        <v>60</v>
      </c>
      <c r="D19" s="1" t="s">
        <v>18</v>
      </c>
      <c r="E19" s="2" t="s">
        <v>70</v>
      </c>
      <c r="F19" s="2">
        <v>49.277700000000003</v>
      </c>
      <c r="G19" s="2">
        <v>-122.82859999999999</v>
      </c>
    </row>
    <row r="20" spans="1:7" ht="28.2" thickBot="1">
      <c r="A20" s="2" t="s">
        <v>45</v>
      </c>
      <c r="B20" s="2" t="s">
        <v>58</v>
      </c>
      <c r="D20" s="1" t="s">
        <v>45</v>
      </c>
      <c r="E20" s="2" t="s">
        <v>65</v>
      </c>
      <c r="F20" s="2">
        <v>49.238399999999999</v>
      </c>
      <c r="G20" s="2">
        <v>-123.0318</v>
      </c>
    </row>
    <row r="21" spans="1:7" ht="15" thickBot="1">
      <c r="A21" s="2" t="s">
        <v>19</v>
      </c>
      <c r="B21" s="2" t="s">
        <v>59</v>
      </c>
      <c r="D21" s="1" t="s">
        <v>19</v>
      </c>
      <c r="E21" s="2" t="s">
        <v>65</v>
      </c>
      <c r="F21" s="2">
        <v>49.249200000000002</v>
      </c>
      <c r="G21" s="2">
        <v>-123.11579999999999</v>
      </c>
    </row>
    <row r="22" spans="1:7" ht="15" thickBot="1">
      <c r="A22" s="2" t="s">
        <v>20</v>
      </c>
      <c r="B22" s="2" t="s">
        <v>58</v>
      </c>
      <c r="D22" s="1" t="s">
        <v>20</v>
      </c>
      <c r="E22" s="2" t="s">
        <v>69</v>
      </c>
      <c r="F22" s="2">
        <v>49.182699999999997</v>
      </c>
      <c r="G22" s="2">
        <v>-122.8451</v>
      </c>
    </row>
    <row r="23" spans="1:7" ht="28.2" thickBot="1">
      <c r="A23" s="2" t="s">
        <v>21</v>
      </c>
      <c r="B23" s="2" t="s">
        <v>60</v>
      </c>
      <c r="D23" s="1" t="s">
        <v>21</v>
      </c>
      <c r="E23" s="2" t="s">
        <v>68</v>
      </c>
      <c r="F23" s="2">
        <v>49.284700000000001</v>
      </c>
      <c r="G23" s="2">
        <v>-122.78360000000001</v>
      </c>
    </row>
    <row r="24" spans="1:7" ht="28.2" thickBot="1">
      <c r="A24" s="2" t="s">
        <v>22</v>
      </c>
      <c r="B24" s="2" t="s">
        <v>60</v>
      </c>
      <c r="D24" s="1" t="s">
        <v>22</v>
      </c>
      <c r="E24" s="2" t="s">
        <v>67</v>
      </c>
      <c r="F24" s="2">
        <v>49.254600000000003</v>
      </c>
      <c r="G24" s="2">
        <v>-122.93770000000001</v>
      </c>
    </row>
    <row r="25" spans="1:7" ht="28.2" thickBot="1">
      <c r="A25" s="2" t="s">
        <v>46</v>
      </c>
      <c r="B25" s="2" t="s">
        <v>59</v>
      </c>
      <c r="D25" s="1" t="s">
        <v>46</v>
      </c>
      <c r="E25" s="2" t="s">
        <v>65</v>
      </c>
      <c r="F25" s="2">
        <v>49.226300000000002</v>
      </c>
      <c r="G25" s="2">
        <v>-123.1161</v>
      </c>
    </row>
    <row r="26" spans="1:7" ht="15" thickBot="1">
      <c r="A26" s="2" t="s">
        <v>23</v>
      </c>
      <c r="B26" s="2" t="s">
        <v>59</v>
      </c>
      <c r="D26" s="1" t="s">
        <v>23</v>
      </c>
      <c r="E26" s="2" t="s">
        <v>66</v>
      </c>
      <c r="F26" s="2">
        <v>49.174700000000001</v>
      </c>
      <c r="G26" s="2">
        <v>-123.1362</v>
      </c>
    </row>
    <row r="27" spans="1:7" ht="15" thickBot="1">
      <c r="A27" s="2" t="s">
        <v>24</v>
      </c>
      <c r="B27" s="2" t="s">
        <v>60</v>
      </c>
      <c r="D27" s="1" t="s">
        <v>24</v>
      </c>
      <c r="E27" s="2" t="s">
        <v>68</v>
      </c>
      <c r="F27" s="2">
        <v>49.28</v>
      </c>
      <c r="G27" s="2">
        <v>-122.7933</v>
      </c>
    </row>
    <row r="28" spans="1:7" ht="28.2" thickBot="1">
      <c r="A28" s="2" t="s">
        <v>25</v>
      </c>
      <c r="B28" s="2" t="s">
        <v>61</v>
      </c>
      <c r="D28" s="1" t="s">
        <v>25</v>
      </c>
      <c r="E28" s="2" t="s">
        <v>67</v>
      </c>
      <c r="F28" s="2">
        <v>49.2483</v>
      </c>
      <c r="G28" s="2">
        <v>-122.89700000000001</v>
      </c>
    </row>
    <row r="29" spans="1:7" ht="28.2" thickBot="1">
      <c r="A29" s="2" t="s">
        <v>47</v>
      </c>
      <c r="B29" s="2" t="s">
        <v>58</v>
      </c>
      <c r="D29" s="1" t="s">
        <v>47</v>
      </c>
      <c r="E29" s="2" t="s">
        <v>65</v>
      </c>
      <c r="F29" s="2">
        <v>49.273200000000003</v>
      </c>
      <c r="G29" s="2">
        <v>-123.1003</v>
      </c>
    </row>
    <row r="30" spans="1:7" ht="15" thickBot="1">
      <c r="A30" s="2" t="s">
        <v>26</v>
      </c>
      <c r="B30" s="2" t="s">
        <v>59</v>
      </c>
      <c r="D30" s="1" t="s">
        <v>26</v>
      </c>
      <c r="E30" s="2" t="s">
        <v>65</v>
      </c>
      <c r="F30" s="2">
        <v>49.209800000000001</v>
      </c>
      <c r="G30" s="2">
        <v>-123.1174</v>
      </c>
    </row>
    <row r="31" spans="1:7" ht="15" thickBot="1">
      <c r="A31" s="2" t="s">
        <v>27</v>
      </c>
      <c r="B31" s="2" t="s">
        <v>58</v>
      </c>
      <c r="D31" s="1" t="s">
        <v>27</v>
      </c>
      <c r="E31" s="2" t="s">
        <v>67</v>
      </c>
      <c r="F31" s="2">
        <v>49.225700000000003</v>
      </c>
      <c r="G31" s="2">
        <v>-123.0039</v>
      </c>
    </row>
    <row r="32" spans="1:7" ht="15" thickBot="1">
      <c r="A32" s="2" t="s">
        <v>28</v>
      </c>
      <c r="B32" s="2" t="s">
        <v>60</v>
      </c>
      <c r="D32" s="1" t="s">
        <v>28</v>
      </c>
      <c r="E32" s="2" t="s">
        <v>70</v>
      </c>
      <c r="F32" s="2">
        <v>49.278300000000002</v>
      </c>
      <c r="G32" s="2">
        <v>-122.845</v>
      </c>
    </row>
    <row r="33" spans="1:7" ht="15" thickBot="1">
      <c r="A33" s="2" t="s">
        <v>29</v>
      </c>
      <c r="B33" s="2" t="s">
        <v>58</v>
      </c>
      <c r="D33" s="1" t="s">
        <v>29</v>
      </c>
      <c r="E33" s="2" t="s">
        <v>65</v>
      </c>
      <c r="F33" s="2">
        <v>49.2483</v>
      </c>
      <c r="G33" s="2">
        <v>-123.05589999999999</v>
      </c>
    </row>
    <row r="34" spans="1:7" ht="28.2" thickBot="1">
      <c r="A34" s="2" t="s">
        <v>30</v>
      </c>
      <c r="B34" s="2" t="s">
        <v>58</v>
      </c>
      <c r="D34" s="1" t="s">
        <v>30</v>
      </c>
      <c r="E34" s="2" t="s">
        <v>64</v>
      </c>
      <c r="F34" s="2">
        <v>49.201500000000003</v>
      </c>
      <c r="G34" s="2">
        <v>-122.9126</v>
      </c>
    </row>
    <row r="35" spans="1:7" ht="28.2" thickBot="1">
      <c r="A35" s="2" t="s">
        <v>48</v>
      </c>
      <c r="B35" s="2" t="s">
        <v>59</v>
      </c>
      <c r="D35" s="1" t="s">
        <v>48</v>
      </c>
      <c r="E35" s="2" t="s">
        <v>65</v>
      </c>
      <c r="F35" s="2">
        <v>49.232999999999997</v>
      </c>
      <c r="G35" s="2">
        <v>-123.1161</v>
      </c>
    </row>
    <row r="36" spans="1:7" ht="28.2" thickBot="1">
      <c r="A36" s="2" t="s">
        <v>31</v>
      </c>
      <c r="B36" s="2" t="s">
        <v>59</v>
      </c>
      <c r="D36" s="1" t="s">
        <v>31</v>
      </c>
      <c r="E36" s="2" t="s">
        <v>65</v>
      </c>
      <c r="F36" s="2">
        <v>49.266500000000001</v>
      </c>
      <c r="G36" s="2">
        <v>-123.1156</v>
      </c>
    </row>
    <row r="37" spans="1:7" ht="15" thickBot="1">
      <c r="A37" s="2" t="s">
        <v>32</v>
      </c>
      <c r="B37" s="2" t="s">
        <v>58</v>
      </c>
      <c r="D37" s="1" t="s">
        <v>32</v>
      </c>
      <c r="E37" s="2" t="s">
        <v>67</v>
      </c>
      <c r="F37" s="2">
        <v>49.229700000000001</v>
      </c>
      <c r="G37" s="2">
        <v>-123.01260000000001</v>
      </c>
    </row>
    <row r="38" spans="1:7" ht="28.2" thickBot="1">
      <c r="A38" s="2" t="s">
        <v>49</v>
      </c>
      <c r="B38" s="2" t="s">
        <v>61</v>
      </c>
      <c r="D38" s="1" t="s">
        <v>49</v>
      </c>
      <c r="E38" s="2" t="s">
        <v>67</v>
      </c>
      <c r="F38" s="2">
        <v>49.253300000000003</v>
      </c>
      <c r="G38" s="2">
        <v>-122.91800000000001</v>
      </c>
    </row>
    <row r="39" spans="1:7" ht="15" thickBot="1">
      <c r="A39" s="2" t="s">
        <v>33</v>
      </c>
      <c r="B39" s="2" t="s">
        <v>60</v>
      </c>
      <c r="D39" s="1" t="s">
        <v>33</v>
      </c>
      <c r="E39" s="2" t="s">
        <v>65</v>
      </c>
      <c r="F39" s="2">
        <v>49.258800000000001</v>
      </c>
      <c r="G39" s="2">
        <v>-123.0453</v>
      </c>
    </row>
    <row r="40" spans="1:7" ht="28.2" thickBot="1">
      <c r="A40" s="2" t="s">
        <v>50</v>
      </c>
      <c r="B40" s="2" t="s">
        <v>59</v>
      </c>
      <c r="D40" s="1" t="s">
        <v>50</v>
      </c>
      <c r="E40" s="2" t="s">
        <v>66</v>
      </c>
      <c r="F40" s="2">
        <v>49.168100000000003</v>
      </c>
      <c r="G40" s="2">
        <v>-123.1362</v>
      </c>
    </row>
    <row r="41" spans="1:7" ht="15" thickBot="1">
      <c r="A41" s="2" t="s">
        <v>34</v>
      </c>
      <c r="B41" s="2" t="s">
        <v>58</v>
      </c>
      <c r="D41" s="1" t="s">
        <v>34</v>
      </c>
      <c r="E41" s="2" t="s">
        <v>67</v>
      </c>
      <c r="F41" s="2">
        <v>49.220100000000002</v>
      </c>
      <c r="G41" s="2">
        <v>-122.9884</v>
      </c>
    </row>
    <row r="42" spans="1:7" ht="15" thickBot="1">
      <c r="A42" s="2" t="s">
        <v>35</v>
      </c>
      <c r="B42" s="2" t="s">
        <v>60</v>
      </c>
      <c r="D42" s="1" t="s">
        <v>35</v>
      </c>
      <c r="E42" s="2" t="s">
        <v>65</v>
      </c>
      <c r="F42" s="2">
        <v>49.258800000000001</v>
      </c>
      <c r="G42" s="2">
        <v>-123.02670000000001</v>
      </c>
    </row>
    <row r="43" spans="1:7" ht="15" thickBot="1">
      <c r="A43" s="2" t="s">
        <v>36</v>
      </c>
      <c r="B43" s="2" t="s">
        <v>58</v>
      </c>
      <c r="D43" s="1" t="s">
        <v>36</v>
      </c>
      <c r="E43" s="2" t="s">
        <v>64</v>
      </c>
      <c r="F43" s="2">
        <v>49.2254</v>
      </c>
      <c r="G43" s="2">
        <v>-122.88639999999999</v>
      </c>
    </row>
    <row r="44" spans="1:7" ht="15" thickBot="1">
      <c r="A44" s="2" t="s">
        <v>37</v>
      </c>
      <c r="B44" s="2" t="s">
        <v>58</v>
      </c>
      <c r="D44" s="1" t="s">
        <v>37</v>
      </c>
      <c r="E44" s="2" t="s">
        <v>69</v>
      </c>
      <c r="F44" s="2">
        <v>49.2044</v>
      </c>
      <c r="G44" s="2">
        <v>-122.87430000000001</v>
      </c>
    </row>
    <row r="45" spans="1:7" ht="15" thickBot="1">
      <c r="A45" s="2" t="s">
        <v>38</v>
      </c>
      <c r="B45" s="2" t="s">
        <v>59</v>
      </c>
      <c r="D45" s="1" t="s">
        <v>38</v>
      </c>
      <c r="E45" s="2" t="s">
        <v>66</v>
      </c>
      <c r="F45" s="2">
        <v>49.193100000000001</v>
      </c>
      <c r="G45" s="2">
        <v>-123.1553</v>
      </c>
    </row>
    <row r="46" spans="1:7" ht="28.2" thickBot="1">
      <c r="A46" s="2" t="s">
        <v>51</v>
      </c>
      <c r="B46" s="2" t="s">
        <v>60</v>
      </c>
      <c r="D46" s="1" t="s">
        <v>51</v>
      </c>
      <c r="E46" s="2" t="s">
        <v>67</v>
      </c>
      <c r="F46" s="2">
        <v>49.2592</v>
      </c>
      <c r="G46" s="2">
        <v>-122.96420000000001</v>
      </c>
    </row>
    <row r="47" spans="1:7" ht="28.2" thickBot="1">
      <c r="A47" s="2" t="s">
        <v>52</v>
      </c>
      <c r="B47" s="2" t="s">
        <v>58</v>
      </c>
      <c r="D47" s="1" t="s">
        <v>52</v>
      </c>
      <c r="E47" s="2" t="s">
        <v>65</v>
      </c>
      <c r="F47" s="2">
        <v>49.279600000000002</v>
      </c>
      <c r="G47" s="2">
        <v>-123.10980000000001</v>
      </c>
    </row>
    <row r="48" spans="1:7" ht="28.2" thickBot="1">
      <c r="A48" s="2" t="s">
        <v>39</v>
      </c>
      <c r="B48" s="2" t="s">
        <v>58</v>
      </c>
      <c r="D48" s="1" t="s">
        <v>39</v>
      </c>
      <c r="E48" s="2" t="s">
        <v>69</v>
      </c>
      <c r="F48" s="2">
        <v>49.189599999999999</v>
      </c>
      <c r="G48" s="2">
        <v>-122.8479</v>
      </c>
    </row>
    <row r="49" spans="1:7" ht="15" thickBot="1">
      <c r="A49" s="2" t="s">
        <v>40</v>
      </c>
      <c r="B49" s="2" t="s">
        <v>59</v>
      </c>
      <c r="D49" s="1" t="s">
        <v>40</v>
      </c>
      <c r="E49" s="2" t="s">
        <v>66</v>
      </c>
      <c r="F49" s="2">
        <v>49.196300000000001</v>
      </c>
      <c r="G49" s="2">
        <v>-123.1465</v>
      </c>
    </row>
    <row r="50" spans="1:7" ht="15" thickBot="1">
      <c r="A50" s="2" t="s">
        <v>53</v>
      </c>
      <c r="B50" s="2" t="s">
        <v>60</v>
      </c>
      <c r="D50" s="1" t="s">
        <v>53</v>
      </c>
      <c r="E50" s="2" t="s">
        <v>65</v>
      </c>
      <c r="F50" s="2">
        <v>49.265799999999999</v>
      </c>
      <c r="G50" s="2">
        <v>-123.0792</v>
      </c>
    </row>
    <row r="51" spans="1:7" ht="28.2" thickBot="1">
      <c r="A51" s="2" t="s">
        <v>41</v>
      </c>
      <c r="B51" s="2" t="s">
        <v>59</v>
      </c>
      <c r="D51" s="1" t="s">
        <v>41</v>
      </c>
      <c r="E51" s="2" t="s">
        <v>65</v>
      </c>
      <c r="F51" s="2">
        <v>49.282499999999999</v>
      </c>
      <c r="G51" s="2">
        <v>-123.1185</v>
      </c>
    </row>
    <row r="52" spans="1:7" ht="28.2" thickBot="1">
      <c r="A52" s="2" t="s">
        <v>42</v>
      </c>
      <c r="B52" s="2" t="s">
        <v>62</v>
      </c>
      <c r="D52" s="1" t="s">
        <v>42</v>
      </c>
      <c r="E52" s="2" t="s">
        <v>65</v>
      </c>
      <c r="F52" s="2">
        <v>49.285899999999998</v>
      </c>
      <c r="G52" s="2">
        <v>-123.1118</v>
      </c>
    </row>
    <row r="53" spans="1:7" ht="15" thickBot="1">
      <c r="A53" s="2" t="s">
        <v>55</v>
      </c>
      <c r="B53" s="2" t="s">
        <v>59</v>
      </c>
      <c r="D53" s="1" t="s">
        <v>55</v>
      </c>
      <c r="E53" s="2" t="s">
        <v>66</v>
      </c>
      <c r="F53" s="2">
        <v>49.193899999999999</v>
      </c>
      <c r="G53" s="2">
        <v>-123.1765</v>
      </c>
    </row>
    <row r="54" spans="1:7" ht="28.2" thickBot="1">
      <c r="A54" s="2" t="s">
        <v>54</v>
      </c>
      <c r="B54" s="2" t="s">
        <v>59</v>
      </c>
      <c r="D54" s="1" t="s">
        <v>54</v>
      </c>
      <c r="E54" s="2" t="s">
        <v>65</v>
      </c>
      <c r="F54" s="2">
        <v>49.274500000000003</v>
      </c>
      <c r="G54" s="2">
        <v>-123.1219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He</dc:creator>
  <cp:lastModifiedBy>Richard He</cp:lastModifiedBy>
  <dcterms:created xsi:type="dcterms:W3CDTF">2026-01-07T06:55:11Z</dcterms:created>
  <dcterms:modified xsi:type="dcterms:W3CDTF">2026-01-16T02:54:41Z</dcterms:modified>
</cp:coreProperties>
</file>